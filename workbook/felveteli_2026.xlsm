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24b82ccc1c240a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NS2\Felvételi\App\"/>
    </mc:Choice>
  </mc:AlternateContent>
  <xr:revisionPtr revIDLastSave="0" documentId="13_ncr:1_{FF2768B7-0E86-4C0D-BD64-3DBE50177350}" xr6:coauthVersionLast="47" xr6:coauthVersionMax="47" xr10:uidLastSave="{00000000-0000-0000-0000-000000000000}"/>
  <bookViews>
    <workbookView xWindow="-120" yWindow="-120" windowWidth="29040" windowHeight="15720" activeTab="8" xr2:uid="{5E739455-A73E-4492-AFC9-7362613A8B62}"/>
  </bookViews>
  <sheets>
    <sheet name="adatok" sheetId="4" r:id="rId1"/>
    <sheet name="Szabályok" sheetId="27" r:id="rId2"/>
    <sheet name="diakadat" sheetId="5" r:id="rId3"/>
    <sheet name="4000" sheetId="36" r:id="rId4"/>
    <sheet name="3000" sheetId="35" r:id="rId5"/>
    <sheet name="2000" sheetId="34" r:id="rId6"/>
    <sheet name="1000" sheetId="33" r:id="rId7"/>
    <sheet name="TanteremLista" sheetId="25" r:id="rId8"/>
    <sheet name="rangsor" sheetId="1" r:id="rId9"/>
    <sheet name="lista" sheetId="2" r:id="rId10"/>
    <sheet name="tagozat" sheetId="7" r:id="rId11"/>
    <sheet name="eselyesek" sheetId="12" r:id="rId12"/>
    <sheet name="diak_lista" sheetId="11" r:id="rId13"/>
    <sheet name="_lista_seged" sheetId="10" state="veryHidden" r:id="rId14"/>
    <sheet name="idopontok" sheetId="16" r:id="rId15"/>
    <sheet name="Névsor" sheetId="26" r:id="rId16"/>
    <sheet name="bizonyitvany_matrix" sheetId="17" r:id="rId17"/>
    <sheet name="MailErrors" sheetId="20" r:id="rId18"/>
    <sheet name="StepLog" sheetId="21" r:id="rId19"/>
    <sheet name="ExportLog" sheetId="22" r:id="rId20"/>
    <sheet name="GroupsDebug" sheetId="23" r:id="rId21"/>
    <sheet name="Osszesito" sheetId="24" r:id="rId22"/>
  </sheets>
  <functionGroups builtInGroupCount="19"/>
  <definedNames>
    <definedName name="_xleta.ISBLANK" hidden="1" xlm="1">#NAME?</definedName>
    <definedName name="_xleta.T" hidden="1" xlm="1">#NAME?</definedName>
    <definedName name="_xlnm.Print_Area" localSheetId="15">Névsor!$A$5:$C$15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 a="1"/>
  <c r="D2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9" i="2" a="1"/>
  <c r="D9" i="2" s="1"/>
  <c r="D10" i="2" a="1"/>
  <c r="D10" i="2" s="1"/>
  <c r="D11" i="2" a="1"/>
  <c r="D11" i="2" s="1"/>
  <c r="D12" i="2" a="1"/>
  <c r="D12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19" i="4"/>
  <c r="D218" i="4"/>
  <c r="D217" i="4"/>
  <c r="D216" i="4"/>
  <c r="D215" i="4"/>
  <c r="D214" i="4" l="1"/>
  <c r="D213" i="4"/>
  <c r="D212" i="4"/>
  <c r="D211" i="4"/>
  <c r="D210" i="4"/>
  <c r="D209" i="4"/>
  <c r="D208" i="4"/>
  <c r="D207" i="4"/>
  <c r="D206" i="4"/>
  <c r="D205" i="4"/>
  <c r="D204" i="4"/>
  <c r="D9" i="4"/>
  <c r="D8" i="4"/>
  <c r="G253" i="1"/>
  <c r="H10" i="2" a="1"/>
  <c r="H21" i="2" a="1"/>
  <c r="H5" i="2" a="1"/>
  <c r="H19" i="2" a="1"/>
  <c r="H15" i="2" a="1"/>
  <c r="H17" i="2" a="1"/>
  <c r="H18" i="2" a="1"/>
  <c r="H8" i="2" a="1"/>
  <c r="H4" i="2" a="1"/>
  <c r="H7" i="2" a="1"/>
  <c r="H14" i="2" a="1"/>
  <c r="H12" i="2" a="1"/>
  <c r="H9" i="2" a="1"/>
  <c r="H6" i="2" a="1"/>
  <c r="H3" i="2" a="1"/>
  <c r="H16" i="2" a="1"/>
  <c r="H11" i="2" a="1"/>
  <c r="H20" i="2" a="1"/>
  <c r="H13" i="2" a="1"/>
  <c r="H2" i="2" a="1"/>
  <c r="H6" i="2" l="1"/>
  <c r="H15" i="2"/>
  <c r="H12" i="2"/>
  <c r="H17" i="2"/>
  <c r="H16" i="2"/>
  <c r="H10" i="2"/>
  <c r="H18" i="2"/>
  <c r="H19" i="2"/>
  <c r="H13" i="2"/>
  <c r="H20" i="2"/>
  <c r="H11" i="2"/>
  <c r="H21" i="2"/>
  <c r="H5" i="2"/>
  <c r="H2" i="2"/>
  <c r="H3" i="2"/>
  <c r="H9" i="2"/>
  <c r="H4" i="2"/>
  <c r="H7" i="2"/>
  <c r="H14" i="2"/>
  <c r="H8" i="2"/>
  <c r="D160" i="4"/>
  <c r="D109" i="4"/>
  <c r="D48" i="4"/>
  <c r="D148" i="4"/>
  <c r="D151" i="4"/>
  <c r="D60" i="4"/>
  <c r="D27" i="4"/>
  <c r="D182" i="4"/>
  <c r="D201" i="4"/>
  <c r="D202" i="4"/>
  <c r="D203" i="4"/>
  <c r="D112" i="4"/>
  <c r="D180" i="4"/>
  <c r="D24" i="4"/>
  <c r="D176" i="4"/>
  <c r="D124" i="4"/>
  <c r="D118" i="4"/>
  <c r="D125" i="4"/>
  <c r="D78" i="4"/>
  <c r="D29" i="4"/>
  <c r="D70" i="4"/>
  <c r="D16" i="4"/>
  <c r="D108" i="4"/>
  <c r="D98" i="4"/>
  <c r="E253" i="1"/>
  <c r="D253" i="1"/>
  <c r="F253" i="1"/>
  <c r="D4" i="4"/>
  <c r="D5" i="4"/>
  <c r="D6" i="4"/>
  <c r="D7" i="4"/>
  <c r="D10" i="4"/>
  <c r="D11" i="4"/>
  <c r="D12" i="4"/>
  <c r="D13" i="4"/>
  <c r="D14" i="4"/>
  <c r="D15" i="4"/>
  <c r="D17" i="4"/>
  <c r="D18" i="4"/>
  <c r="D19" i="4"/>
  <c r="D20" i="4"/>
  <c r="D21" i="4"/>
  <c r="D22" i="4"/>
  <c r="D23" i="4"/>
  <c r="D25" i="4"/>
  <c r="D26" i="4"/>
  <c r="D28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9" i="4"/>
  <c r="D50" i="4"/>
  <c r="D51" i="4"/>
  <c r="D52" i="4"/>
  <c r="D53" i="4"/>
  <c r="D54" i="4"/>
  <c r="D55" i="4"/>
  <c r="D56" i="4"/>
  <c r="D57" i="4"/>
  <c r="D58" i="4"/>
  <c r="D59" i="4"/>
  <c r="D61" i="4"/>
  <c r="D62" i="4"/>
  <c r="D63" i="4"/>
  <c r="D64" i="4"/>
  <c r="D65" i="4"/>
  <c r="D66" i="4"/>
  <c r="D67" i="4"/>
  <c r="D68" i="4"/>
  <c r="D69" i="4"/>
  <c r="D71" i="4"/>
  <c r="D72" i="4"/>
  <c r="D73" i="4"/>
  <c r="D74" i="4"/>
  <c r="D75" i="4"/>
  <c r="D76" i="4"/>
  <c r="D77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4" i="4"/>
  <c r="D95" i="4"/>
  <c r="D96" i="4"/>
  <c r="D97" i="4"/>
  <c r="D99" i="4"/>
  <c r="D100" i="4"/>
  <c r="D101" i="4"/>
  <c r="D102" i="4"/>
  <c r="D103" i="4"/>
  <c r="D104" i="4"/>
  <c r="D105" i="4"/>
  <c r="D106" i="4"/>
  <c r="D107" i="4"/>
  <c r="D110" i="4"/>
  <c r="D111" i="4"/>
  <c r="D113" i="4"/>
  <c r="D114" i="4"/>
  <c r="D115" i="4"/>
  <c r="D116" i="4"/>
  <c r="D117" i="4"/>
  <c r="D119" i="4"/>
  <c r="D120" i="4"/>
  <c r="D121" i="4"/>
  <c r="D122" i="4"/>
  <c r="D123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9" i="4"/>
  <c r="D150" i="4"/>
  <c r="D152" i="4"/>
  <c r="D153" i="4"/>
  <c r="D154" i="4"/>
  <c r="D155" i="4"/>
  <c r="D156" i="4"/>
  <c r="D157" i="4"/>
  <c r="D158" i="4"/>
  <c r="D159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7" i="4"/>
  <c r="D178" i="4"/>
  <c r="D179" i="4"/>
  <c r="D181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93" i="4"/>
  <c r="AG13" i="2" a="1"/>
  <c r="AG9" i="2" a="1"/>
  <c r="AI12" i="2" a="1"/>
  <c r="AH20" i="2" a="1"/>
  <c r="AI4" i="2" a="1"/>
  <c r="AH14" i="2" a="1"/>
  <c r="AH4" i="2" a="1"/>
  <c r="AH6" i="2" a="1"/>
  <c r="AI20" i="2" a="1"/>
  <c r="AG17" i="2" a="1"/>
  <c r="AG19" i="2" a="1"/>
  <c r="AI16" i="2" a="1"/>
  <c r="AH15" i="2" a="1"/>
  <c r="AG15" i="2" a="1"/>
  <c r="AH11" i="2" a="1"/>
  <c r="AG12" i="2" a="1"/>
  <c r="AI15" i="2" a="1"/>
  <c r="AG4" i="2" a="1"/>
  <c r="AI6" i="2" a="1"/>
  <c r="AG14" i="2" a="1"/>
  <c r="AG10" i="2" a="1"/>
  <c r="AI7" i="2" a="1"/>
  <c r="AI14" i="2" a="1"/>
  <c r="AH8" i="2" a="1"/>
  <c r="AG20" i="2" a="1"/>
  <c r="AH17" i="2" a="1"/>
  <c r="AH10" i="2" a="1"/>
  <c r="AH12" i="2" a="1"/>
  <c r="AH18" i="2" a="1"/>
  <c r="AG3" i="2" a="1"/>
  <c r="AG8" i="2" a="1"/>
  <c r="AI2" i="2" a="1"/>
  <c r="AH9" i="2" a="1"/>
  <c r="AI5" i="2" a="1"/>
  <c r="AI9" i="2" a="1"/>
  <c r="AH13" i="2" a="1"/>
  <c r="AG2" i="2" a="1"/>
  <c r="AI11" i="2" a="1"/>
  <c r="AG18" i="2" a="1"/>
  <c r="AH16" i="2" a="1"/>
  <c r="AI3" i="2" a="1"/>
  <c r="AI10" i="2" a="1"/>
  <c r="AH19" i="2" a="1"/>
  <c r="AH21" i="2" a="1"/>
  <c r="AI19" i="2" a="1"/>
  <c r="AI8" i="2" a="1"/>
  <c r="AH2" i="2" a="1"/>
  <c r="AG6" i="2" a="1"/>
  <c r="AG5" i="2" a="1"/>
  <c r="AG11" i="2" a="1"/>
  <c r="AH3" i="2" a="1"/>
  <c r="AI18" i="2" a="1"/>
  <c r="AG7" i="2" a="1"/>
  <c r="AG16" i="2" a="1"/>
  <c r="AI13" i="2" a="1"/>
  <c r="AH7" i="2" a="1"/>
  <c r="AG21" i="2" a="1"/>
  <c r="AI21" i="2" a="1"/>
  <c r="AI17" i="2" a="1"/>
  <c r="AH5" i="2" a="1"/>
  <c r="AH5" i="2" l="1"/>
  <c r="AI17" i="2"/>
  <c r="AI21" i="2"/>
  <c r="AG21" i="2"/>
  <c r="AH7" i="2"/>
  <c r="AI13" i="2"/>
  <c r="AG16" i="2"/>
  <c r="AG7" i="2"/>
  <c r="AI18" i="2"/>
  <c r="AH3" i="2"/>
  <c r="AG11" i="2"/>
  <c r="AG5" i="2"/>
  <c r="AG6" i="2"/>
  <c r="AH2" i="2"/>
  <c r="AI8" i="2"/>
  <c r="AI19" i="2"/>
  <c r="AH21" i="2"/>
  <c r="AH19" i="2"/>
  <c r="AI10" i="2"/>
  <c r="AI3" i="2"/>
  <c r="AH16" i="2"/>
  <c r="AG18" i="2"/>
  <c r="AI11" i="2"/>
  <c r="AG2" i="2"/>
  <c r="AH13" i="2"/>
  <c r="AI9" i="2"/>
  <c r="AI5" i="2"/>
  <c r="AH9" i="2"/>
  <c r="AI2" i="2"/>
  <c r="AG8" i="2"/>
  <c r="AG3" i="2"/>
  <c r="AH18" i="2"/>
  <c r="AH12" i="2"/>
  <c r="AH10" i="2"/>
  <c r="AH17" i="2"/>
  <c r="AG20" i="2"/>
  <c r="AH8" i="2"/>
  <c r="AI14" i="2"/>
  <c r="AI7" i="2"/>
  <c r="AG10" i="2"/>
  <c r="AG14" i="2"/>
  <c r="AI6" i="2"/>
  <c r="AG4" i="2"/>
  <c r="AI15" i="2"/>
  <c r="AG12" i="2"/>
  <c r="AH11" i="2"/>
  <c r="AG15" i="2"/>
  <c r="AH15" i="2"/>
  <c r="AI16" i="2"/>
  <c r="AG19" i="2"/>
  <c r="AG17" i="2"/>
  <c r="AI20" i="2"/>
  <c r="AH6" i="2"/>
  <c r="AH4" i="2"/>
  <c r="AH14" i="2"/>
  <c r="AI4" i="2"/>
  <c r="AH20" i="2"/>
  <c r="AI12" i="2"/>
  <c r="AG9" i="2"/>
  <c r="AG13" i="2"/>
  <c r="E14" i="2" a="1"/>
  <c r="E15" i="2" a="1"/>
  <c r="E16" i="2" a="1"/>
  <c r="AD3" i="2" a="1"/>
  <c r="G17" i="2" a="1"/>
  <c r="G3" i="2" a="1"/>
  <c r="G8" i="2" a="1"/>
  <c r="E21" i="2" a="1"/>
  <c r="G9" i="2" a="1"/>
  <c r="G15" i="2" a="1"/>
  <c r="E5" i="2" a="1"/>
  <c r="G7" i="2" a="1"/>
  <c r="E19" i="2" a="1"/>
  <c r="E10" i="2" a="1"/>
  <c r="E20" i="2" a="1"/>
  <c r="G14" i="2" a="1"/>
  <c r="AD2" i="2" a="1"/>
  <c r="G2" i="2" a="1"/>
  <c r="E13" i="2" a="1"/>
  <c r="E3" i="2" a="1"/>
  <c r="E4" i="2" a="1"/>
  <c r="G18" i="2" a="1"/>
  <c r="G20" i="2" a="1"/>
  <c r="E2" i="2" a="1"/>
  <c r="G12" i="2" a="1"/>
  <c r="G13" i="2" a="1"/>
  <c r="E17" i="2" a="1"/>
  <c r="G11" i="2" a="1"/>
  <c r="G16" i="2" a="1"/>
  <c r="E8" i="2" a="1"/>
  <c r="E11" i="2" a="1"/>
  <c r="E9" i="2" a="1"/>
  <c r="E7" i="2" a="1"/>
  <c r="G6" i="2" a="1"/>
  <c r="E12" i="2" a="1"/>
  <c r="G19" i="2" a="1"/>
  <c r="E6" i="2" a="1"/>
  <c r="G5" i="2" a="1"/>
  <c r="G21" i="2" a="1"/>
  <c r="G10" i="2" a="1"/>
  <c r="E18" i="2" a="1"/>
  <c r="G4" i="2" a="1"/>
  <c r="AD2" i="2" l="1"/>
  <c r="G18" i="2"/>
  <c r="E9" i="2"/>
  <c r="G15" i="2"/>
  <c r="AD3" i="2"/>
  <c r="E3" i="2"/>
  <c r="E7" i="2"/>
  <c r="E12" i="2"/>
  <c r="E2" i="2"/>
  <c r="E8" i="2"/>
  <c r="G7" i="2"/>
  <c r="E17" i="2"/>
  <c r="G11" i="2"/>
  <c r="E20" i="2"/>
  <c r="G8" i="2"/>
  <c r="E13" i="2"/>
  <c r="E15" i="2"/>
  <c r="E6" i="2"/>
  <c r="G2" i="2"/>
  <c r="E18" i="2"/>
  <c r="E5" i="2"/>
  <c r="G17" i="2"/>
  <c r="E21" i="2"/>
  <c r="E4" i="2"/>
  <c r="G9" i="2"/>
  <c r="G14" i="2"/>
  <c r="G12" i="2"/>
  <c r="E11" i="2"/>
  <c r="G6" i="2"/>
  <c r="E19" i="2"/>
  <c r="E10" i="2"/>
  <c r="G10" i="2"/>
  <c r="G4" i="2"/>
  <c r="G20" i="2"/>
  <c r="E16" i="2"/>
  <c r="G5" i="2"/>
  <c r="G19" i="2"/>
  <c r="G21" i="2"/>
  <c r="G13" i="2"/>
  <c r="G3" i="2"/>
  <c r="G16" i="2"/>
  <c r="E14" i="2"/>
  <c r="R13" i="2" a="1"/>
  <c r="R18" i="2" a="1"/>
  <c r="R12" i="2" a="1"/>
  <c r="R20" i="2" a="1"/>
  <c r="R21" i="2" a="1"/>
  <c r="R3" i="2" a="1"/>
  <c r="R14" i="2" a="1"/>
  <c r="R6" i="2" a="1"/>
  <c r="R16" i="2" a="1"/>
  <c r="R15" i="2" a="1"/>
  <c r="R10" i="2" a="1"/>
  <c r="R8" i="2" a="1"/>
  <c r="R2" i="2" a="1"/>
  <c r="R7" i="2" a="1"/>
  <c r="R5" i="2" a="1"/>
  <c r="R11" i="2" a="1"/>
  <c r="R9" i="2" a="1"/>
  <c r="R19" i="2" a="1"/>
  <c r="R4" i="2" a="1"/>
  <c r="R17" i="2" a="1"/>
  <c r="R11" i="2" l="1"/>
  <c r="R18" i="2"/>
  <c r="R17" i="2"/>
  <c r="R12" i="2"/>
  <c r="R10" i="2"/>
  <c r="R21" i="2"/>
  <c r="R9" i="2"/>
  <c r="R4" i="2"/>
  <c r="R13" i="2"/>
  <c r="R16" i="2"/>
  <c r="R7" i="2"/>
  <c r="R14" i="2"/>
  <c r="R19" i="2"/>
  <c r="R6" i="2"/>
  <c r="R20" i="2"/>
  <c r="R8" i="2"/>
  <c r="R3" i="2"/>
  <c r="R5" i="2"/>
  <c r="R15" i="2"/>
  <c r="R2" i="2"/>
  <c r="F5" i="2"/>
  <c r="F18" i="2"/>
  <c r="F13" i="2"/>
  <c r="F17" i="2"/>
  <c r="F8" i="2"/>
  <c r="F14" i="2"/>
  <c r="F11" i="2"/>
  <c r="F4" i="2"/>
  <c r="F21" i="2"/>
  <c r="F20" i="2"/>
  <c r="F16" i="2"/>
  <c r="F10" i="2"/>
  <c r="F12" i="2"/>
  <c r="F7" i="2"/>
  <c r="F9" i="2"/>
  <c r="F19" i="2"/>
  <c r="F6" i="2"/>
  <c r="F15" i="2"/>
  <c r="F2" i="2"/>
  <c r="F3" i="2"/>
  <c r="AC3" i="2" l="1"/>
  <c r="AC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<sst xmlns="http://schemas.openxmlformats.org/spreadsheetml/2006/main" count="11409" uniqueCount="3395">
  <si>
    <t>elut</t>
  </si>
  <si>
    <t>iskolaom</t>
  </si>
  <si>
    <t>iskola</t>
  </si>
  <si>
    <t>isknev</t>
  </si>
  <si>
    <t>cim_ossze</t>
  </si>
  <si>
    <t>irsz</t>
  </si>
  <si>
    <t>mail</t>
  </si>
  <si>
    <t>telefon</t>
  </si>
  <si>
    <t>dupla</t>
  </si>
  <si>
    <t>kategoria</t>
  </si>
  <si>
    <t>orommel</t>
  </si>
  <si>
    <t>gratula</t>
  </si>
  <si>
    <t>megszolit</t>
  </si>
  <si>
    <t>resz1</t>
  </si>
  <si>
    <t>resz2</t>
  </si>
  <si>
    <t>resz3</t>
  </si>
  <si>
    <t>indok1</t>
  </si>
  <si>
    <t>indok2</t>
  </si>
  <si>
    <t>hatarozat1</t>
  </si>
  <si>
    <t>hatarozat2</t>
  </si>
  <si>
    <t>hatarozat3</t>
  </si>
  <si>
    <t>felvesz</t>
  </si>
  <si>
    <t>AGY Tanoda Magyar-Angol Két Tanítási Nyelvű Általános Iskola</t>
  </si>
  <si>
    <t>2000 Szentendre, Jókai utca 3.</t>
  </si>
  <si>
    <t>titkarsag@agytanoda.hu</t>
  </si>
  <si>
    <t>26/311387</t>
  </si>
  <si>
    <t>Örömmel közöljük, hogy felvettünk tanulóink sorába.</t>
  </si>
  <si>
    <t>Gratulálunk és további jó tanulást kívánunk!</t>
  </si>
  <si>
    <t>Tisztelt Jövendőbeli Szilágyis!</t>
  </si>
  <si>
    <t>nyelvet tanulhatsz első élő idegen nyelvként és</t>
  </si>
  <si>
    <t>nyelvet másodikként (9. osztálytól).</t>
  </si>
  <si>
    <t>amúgy</t>
  </si>
  <si>
    <t>A megjelölt tagozatok közül az</t>
  </si>
  <si>
    <t>tagozaton érte el a bejutáshoz szükséges pontszámot. A határozat ellen jogorvoslatra a Nemzeti köznevelésről szóló 2011. CXC. törvény 37-38. §-a alapján van lehetőség.</t>
  </si>
  <si>
    <t>a felvételi eljárás során elért eredménye alapján felveszem a Budapest I. Kerületi Szilágyi Erzsébet Gimnázium</t>
  </si>
  <si>
    <t>tagozatkóddal meghirdetett</t>
  </si>
  <si>
    <t>tagozatára.</t>
  </si>
  <si>
    <t>mastvalaszt</t>
  </si>
  <si>
    <t>Albertfalvi Don Bosco Katolikus Általános Iskola és Óvoda</t>
  </si>
  <si>
    <t>1116 Budapest XI. kerület, Albertfalva utca 9-13.</t>
  </si>
  <si>
    <t>igazgato@donboscoiskola.hu</t>
  </si>
  <si>
    <t>(+36-1)2084030</t>
  </si>
  <si>
    <t>mastvalasz</t>
  </si>
  <si>
    <t>Noha gyermeke elérte a felvételhez szükséges pontszámot, a győri Felvételi Központ arról értesített, hogy felvették előrébb rangsorolt tanulmányi területre.</t>
  </si>
  <si>
    <t>Áldás Utcai Általános Iskola</t>
  </si>
  <si>
    <t>1025 Budapest II. kerület, Áldás utca 1.</t>
  </si>
  <si>
    <t>aldasiskola@gmail.com</t>
  </si>
  <si>
    <t>2124258</t>
  </si>
  <si>
    <t xml:space="preserve">A Tanuló által a középfokú felvételi eljárásban megszerzett pontszám nem éri el </t>
  </si>
  <si>
    <t>tagozatkóddal megjelölt tanulmányi területre a felvételhez szükséges minimális pontszámot.</t>
  </si>
  <si>
    <t>Álmos Vezér Gimnázium, Szakgimnázium és Általános Iskola</t>
  </si>
  <si>
    <t>1144 Budapest XIV. kerület, Álmos vezér tér 9.</t>
  </si>
  <si>
    <t>info@almosvezer.hu</t>
  </si>
  <si>
    <t>elegtelen</t>
  </si>
  <si>
    <t>A jelentkező nem érte el az írásbelin az előírt pontszámot, így a felvételi követelményeket nem teljesítette.</t>
  </si>
  <si>
    <t>Alsóerdősori Bárdos Lajos Általános Iskola és Gimnázium</t>
  </si>
  <si>
    <t>1074 Budapest VII. kerület, Alsóerdősor utca 14-16.</t>
  </si>
  <si>
    <t>m.agigimi@gmail.com</t>
  </si>
  <si>
    <t>Andor Ilona Ének-Zenei Általános és Alapfokú Művészeti Baptista Iskola</t>
  </si>
  <si>
    <t>1036 Budapest III. kerület, Mókus utca 2.</t>
  </si>
  <si>
    <t>igazgato@andorilonaiskola.hu</t>
  </si>
  <si>
    <t>1/388-8903</t>
  </si>
  <si>
    <t>Andreetti Károly Általános Iskola és Művészeti Iskola</t>
  </si>
  <si>
    <t>2038 Sóskút, Tulipán utca 9.</t>
  </si>
  <si>
    <t>iskola@andreetti.hu</t>
  </si>
  <si>
    <t>23/348072</t>
  </si>
  <si>
    <t>Aquincum Angol-Magyar Két Tanítási Nyelvű Általános Iskola</t>
  </si>
  <si>
    <t>1031 Budapest, Arató Emil tér 1.</t>
  </si>
  <si>
    <t>igazgato.aquincum@ebtk.hu</t>
  </si>
  <si>
    <t>1/368-7818; 430-0186</t>
  </si>
  <si>
    <t>Árpád Utcai Német Nemzetiségi Nyelvoktató Általános Iskola</t>
  </si>
  <si>
    <t>1222 Budapest XXII. Kerület, Árpád utca 2.</t>
  </si>
  <si>
    <t>intezmenyvezeto@arpad.dbtk.hu</t>
  </si>
  <si>
    <t>+3614820054</t>
  </si>
  <si>
    <t>Babérliget Általános Iskola és Alapfokú Művészeti Iskola</t>
  </si>
  <si>
    <t>1021 Budapest II. kerület, Tárogató út 2-4.</t>
  </si>
  <si>
    <t>hujexe@gmail.com</t>
  </si>
  <si>
    <t>+36 30 2849418</t>
  </si>
  <si>
    <t>pont  határ</t>
  </si>
  <si>
    <t>Bakáts téri Ének-Zenei Általános Iskola</t>
  </si>
  <si>
    <t>1092 Budapest IX. kerület, Bakáts tér 12.</t>
  </si>
  <si>
    <t>titkarsag@bakats.hu</t>
  </si>
  <si>
    <t>1/2170485</t>
  </si>
  <si>
    <t>Bálint Márton Általános Iskola és Középiskola</t>
  </si>
  <si>
    <t>2045 Törökbálint, Óvoda utca 6.</t>
  </si>
  <si>
    <t>balintsuli@torokbalint.hu</t>
  </si>
  <si>
    <t>23/335639</t>
  </si>
  <si>
    <t>Baracskai Kozma Ferenc Általános Iskola</t>
  </si>
  <si>
    <t>2471 Baracska, Templom utca 19.</t>
  </si>
  <si>
    <t>kozma.iskola@gmail.com</t>
  </si>
  <si>
    <t>22/454004</t>
  </si>
  <si>
    <t>Benkő István Református Általános Iskola és Gimnázium</t>
  </si>
  <si>
    <t>1043 Budapest IV. kerület, Nyár utca 4.</t>
  </si>
  <si>
    <t>igazgato@benkorefi.hu</t>
  </si>
  <si>
    <t>1/3691851</t>
  </si>
  <si>
    <t>Bethlen Gábor Általános Iskola és Gimnázium</t>
  </si>
  <si>
    <t>1119 Budapest XI. kerület, Keveháza utca 2.</t>
  </si>
  <si>
    <t>intezmenyvezeto@bethlen.dbtk.hu</t>
  </si>
  <si>
    <t>1/2038932</t>
  </si>
  <si>
    <t>Bethlen Gábor Általános Iskola és Gimnázium Kincskereső Tagiskolája</t>
  </si>
  <si>
    <t>1119 Budapest XI. kerület, Fogócska utca 6.</t>
  </si>
  <si>
    <t>kincskereso@bethlen.dbtk.hu</t>
  </si>
  <si>
    <t>06-1-208-55-38</t>
  </si>
  <si>
    <t>Biatorbágyi Általános Iskola és Magyar-Angol Két Tanítási Nyelvű Általános Iskola</t>
  </si>
  <si>
    <t>2051 Biatorbágy, Szentháromság  tér 6.</t>
  </si>
  <si>
    <t>igazgato@biaisk.hu</t>
  </si>
  <si>
    <t>30 242 92 34</t>
  </si>
  <si>
    <t>Bleyer Jakab Német Nemzetiségi Általános Iskola</t>
  </si>
  <si>
    <t>2040 Budaörs, Iskola tér 1.</t>
  </si>
  <si>
    <t>igazgato@bleyer.edu.hu</t>
  </si>
  <si>
    <t>06-23-420-979</t>
  </si>
  <si>
    <t>Bocskai István Magyar-Német Két Tanítási Nyelvű Általános Iskola</t>
  </si>
  <si>
    <t>2071 Páty, Kökény utca 3040.</t>
  </si>
  <si>
    <t>igazgato@bocskaisuli.hu</t>
  </si>
  <si>
    <t>23/343-537</t>
  </si>
  <si>
    <t>British International School Alapítványi Óvoda, Általános- és Középiskola</t>
  </si>
  <si>
    <t>1037 Budapest III. kerület, Kiscelli köz 17.</t>
  </si>
  <si>
    <t>office@bisb.hu</t>
  </si>
  <si>
    <t>Brit-Magyar Angol-Magyar Két Tanítási Nyelvű Általános Iskola</t>
  </si>
  <si>
    <t>1021 Budapest II. kerület, Tárogató út 2-4 2</t>
  </si>
  <si>
    <t>czirjak.katalin@britmagyariskola.hu</t>
  </si>
  <si>
    <t>Budafok - Tétényi Nádasdy Kálmán Alapfokú Művészeti Iskola és Általános Iskola</t>
  </si>
  <si>
    <t>1222 Budapest XXII. Kerület, Promontor  utca 21.</t>
  </si>
  <si>
    <t>intezmenyvezeto@nadasdy.dbtk.hu</t>
  </si>
  <si>
    <t>36307813614</t>
  </si>
  <si>
    <t>Budafoki Herman Ottó Általános Iskola</t>
  </si>
  <si>
    <t>1222 Budapest XXII. kerület, Pannónia utca 50.</t>
  </si>
  <si>
    <t>intezmenyvezeto@herman.dbtk.hu</t>
  </si>
  <si>
    <t>1/2266686</t>
  </si>
  <si>
    <t>Budafoki Kossuth Lajos Magyar - Angol Két Tanítási Nyelvű Általános Iskola</t>
  </si>
  <si>
    <t>1221 Budapest XXII. kerület, Kossuth Lajos utca 22.</t>
  </si>
  <si>
    <t>intezmenyvezeto@kossuth.dbtk.hu</t>
  </si>
  <si>
    <t>1/2290890</t>
  </si>
  <si>
    <t>Budafok-Tétényi Baross Gábor Általános Iskola</t>
  </si>
  <si>
    <t>1224 Budapest XXII. kerület, Dózsa György út 89-94.</t>
  </si>
  <si>
    <t>intezmenyvezeto@baross.dbtk.hu</t>
  </si>
  <si>
    <t>06-1-3624505</t>
  </si>
  <si>
    <t xml:space="preserve">Budajenői Általános Iskola </t>
  </si>
  <si>
    <t>2093 Budajenő, Fő utca 3.</t>
  </si>
  <si>
    <t>igazgato@budajeno.edu.hu</t>
  </si>
  <si>
    <t>26/371063</t>
  </si>
  <si>
    <t>Budakeszi Német Nemzetiségi Általános Iskola</t>
  </si>
  <si>
    <t>2092 Budakeszi, Knáb János utca 60.</t>
  </si>
  <si>
    <t>igazgato@wudisuli.hu</t>
  </si>
  <si>
    <t>+36304364907</t>
  </si>
  <si>
    <t>Budakeszi Széchenyi István Általános Iskola</t>
  </si>
  <si>
    <t>2092 Budakeszi, Árpád fejedelem tér 1.</t>
  </si>
  <si>
    <t>Pótolni</t>
  </si>
  <si>
    <t>Budaörsi 1. Számú Általános Iskola</t>
  </si>
  <si>
    <t>2040 Budaörs, Hársfa utca 29.</t>
  </si>
  <si>
    <t>igazgato@altisk1-bors.edu.hu</t>
  </si>
  <si>
    <t>+3623805811</t>
  </si>
  <si>
    <t>Budaörsi Herman Ottó Általános Iskola</t>
  </si>
  <si>
    <t>2040 Budaörs, Ifjúság utca 6.</t>
  </si>
  <si>
    <t>titkarsag@herman.hu</t>
  </si>
  <si>
    <t>23/420949</t>
  </si>
  <si>
    <t>Budapest British International Academy Angol Általános Iskola</t>
  </si>
  <si>
    <t>1025 Budapest, Berkenye utca 13-15.</t>
  </si>
  <si>
    <t>Budapest I. Kerületi Batthyány Lajos Általános Iskola</t>
  </si>
  <si>
    <t>1015 Budapest I. kerület, Batthyány utca 8.</t>
  </si>
  <si>
    <t>balint.agi67@gmail.com</t>
  </si>
  <si>
    <t>1/2016282</t>
  </si>
  <si>
    <t>Budapest II. Kerületi Pitypang Utcai Általános Iskola</t>
  </si>
  <si>
    <t>1025 Budapest II. kerület, Pitypang utca 17.</t>
  </si>
  <si>
    <t>igazgato@pitypangiskola.edu.hu</t>
  </si>
  <si>
    <t>3258827</t>
  </si>
  <si>
    <t>Budapest III. Kerületi Dr. Szent-Györgyi Albert Általános Iskola</t>
  </si>
  <si>
    <t>1033 Budapest III. kerület, Szérűskert utca 40-42.</t>
  </si>
  <si>
    <t>titkarsag.drsztgyorgyia@ebtk.hu</t>
  </si>
  <si>
    <t>1/3671429</t>
  </si>
  <si>
    <t>Budapest III. Kerületi Krúdy Gyula Angol-Magyar Két Tanítási Nyelvű Általános Iskola</t>
  </si>
  <si>
    <t>1037 Budapest III. kerület, Haránt köz 13/A.</t>
  </si>
  <si>
    <t>Budapest IX. Kerületi Kosztolányi Dezső Általános Iskola</t>
  </si>
  <si>
    <t>1091 Budapest IX. kerület, Ifjúmunkás utca 1.</t>
  </si>
  <si>
    <t>Budapest IX. Kerületi Kőrösi Csoma Sándor Kéttannyelvű Általános Iskola</t>
  </si>
  <si>
    <t>1091 Budapest IX. kerület, Ifjúmunkás utca 13.</t>
  </si>
  <si>
    <t>kcss.alt.isk@korosikettannyelvu.hu</t>
  </si>
  <si>
    <t>3480453</t>
  </si>
  <si>
    <t>Budapest IX. Kerületi Molnár Ferenc Magyar-Angol Két Tanítási Nyelvű Általános Iskola</t>
  </si>
  <si>
    <t>1095 Budapest IX. kerület, Mester utca 19.</t>
  </si>
  <si>
    <t>mofe@mofe.hu</t>
  </si>
  <si>
    <t>06 30 3970230</t>
  </si>
  <si>
    <t>Budapest IX. Kerületi Szent-Györgyi Albert Általános Iskola és Gimnázium</t>
  </si>
  <si>
    <t>1093 Budapest, Lónyay utca 4/C.</t>
  </si>
  <si>
    <t>igazgato@szgya.hu</t>
  </si>
  <si>
    <t>1/2175987</t>
  </si>
  <si>
    <t>Budapest School Általános Iskola és Gimnázium</t>
  </si>
  <si>
    <t>1137 Budapest XIII. kerület, Pozsonyi út 10</t>
  </si>
  <si>
    <t>Budapest V. Kerületi Hild József Általános Iskola</t>
  </si>
  <si>
    <t>1051 Budapest V. kerület, Nádor utca 12.</t>
  </si>
  <si>
    <t>agavrise@gmail.com</t>
  </si>
  <si>
    <t>+36 1 872 7840</t>
  </si>
  <si>
    <t>Budapest V. Kerületi Szemere Bertalan Általános Iskola</t>
  </si>
  <si>
    <t>1054 Budapest V. kerület, Szemere utca 5.</t>
  </si>
  <si>
    <t>szemere-iskola@belvaros-lipotvaros.hu</t>
  </si>
  <si>
    <t>1/8727802</t>
  </si>
  <si>
    <t>Budapest V. Kerületi Szent István Magyar-Angol Két Tanítási Nyelvű Általános Iskola</t>
  </si>
  <si>
    <t>1054 Budapest V. kerület, Szemere utca 3.</t>
  </si>
  <si>
    <t>iskola@szti.hu</t>
  </si>
  <si>
    <t>8727951</t>
  </si>
  <si>
    <t>Budapest V. Kerületi Váci Utcai Ének-zenei Általános Iskola</t>
  </si>
  <si>
    <t>1056 Budapest V. kerület, Váci utca 43.</t>
  </si>
  <si>
    <t>vaci@belvaros-lipotvaros.hu</t>
  </si>
  <si>
    <t>8727980, 8727981</t>
  </si>
  <si>
    <t>Budapest VI. Kerület Bajza Utcai Általános Iskola</t>
  </si>
  <si>
    <t>1062 Budapest VI. kerület, Bajza utca 49-51.</t>
  </si>
  <si>
    <t>igazgato@bajza6.hu</t>
  </si>
  <si>
    <t>302-7016</t>
  </si>
  <si>
    <t>Budapest VI. Kerületi Bajza utcai Általános Iskola</t>
  </si>
  <si>
    <t>Budapest VI. Kerületi Derkovits Gyula Általános Iskola</t>
  </si>
  <si>
    <t>1068 Budapest VI. kerület, Városligeti fasor 4.</t>
  </si>
  <si>
    <t>Budapest VI. Kerületi Erkel Ferenc Általános Iskola</t>
  </si>
  <si>
    <t>1068 Budapest VI. kerület, Felső Erdősor utca 20.</t>
  </si>
  <si>
    <t>Budapest VII. Kerületi Baross Gábor Általános Iskola</t>
  </si>
  <si>
    <t>1078 Budapest VII. kerület, Hernád utca 42-46.</t>
  </si>
  <si>
    <t>Budapest XIII. Kerületi Csata utcai Általános Iskola</t>
  </si>
  <si>
    <t>1135 Budapest XIII. kerület, Csata utca 20.</t>
  </si>
  <si>
    <t>csataiskola13@gmail.com</t>
  </si>
  <si>
    <t>1/3409524</t>
  </si>
  <si>
    <t>Budapest XIII. Kerületi Gárdonyi Géza Általános Iskola</t>
  </si>
  <si>
    <t>1137 Budapest XIII. kerület, Radnóti Miklós utca 8-10.</t>
  </si>
  <si>
    <t>gardonyi13@freemail.hu</t>
  </si>
  <si>
    <t>1/3404209</t>
  </si>
  <si>
    <t>Budapest XIII. Kerületi Hegedüs Géza Általános Iskola</t>
  </si>
  <si>
    <t>1139 Budapest XIII. kerület, Fiastyúk utca 47-49.</t>
  </si>
  <si>
    <t>Budapest XIII. Kerületi Herman Ottó Általános Iskola</t>
  </si>
  <si>
    <t>1137 Budapest XIII. kerület, Radnóti Miklós utca 35.</t>
  </si>
  <si>
    <t>ujlipot.herman@gmail.com</t>
  </si>
  <si>
    <t>0613294864</t>
  </si>
  <si>
    <t>Budapest XIII. Kerületi Hunyadi Mátyás Általános Iskola</t>
  </si>
  <si>
    <t>1138 Budapest, Karikás Frigyes utca 3.</t>
  </si>
  <si>
    <t>Budapest XIII. Kerületi Pannónia Német Nemzetiségi Kétnyelvű és Angol Nyelvet Oktató Általános Iskola</t>
  </si>
  <si>
    <t>1133 Budapest XIII. kerület, Tutaj utca 7-11.</t>
  </si>
  <si>
    <t>pannonia@pannoniaaltisk.hu</t>
  </si>
  <si>
    <t>1/3202290</t>
  </si>
  <si>
    <t>Budapest XIII. Kerületi Számítástechnikai Általános Iskola</t>
  </si>
  <si>
    <t>1138 Budapest XIII. kerület, Gyöngyösi sétány 7.</t>
  </si>
  <si>
    <t>Budapest XIII. Kerületi Tomori Pál Általános Iskola</t>
  </si>
  <si>
    <t>1131 Budapest XIII. kerület, Tomori utca 2.</t>
  </si>
  <si>
    <t>iskola.tomori@gmail.com</t>
  </si>
  <si>
    <t>Budapest XIII. Kerületi Vizafogó Általános Iskola</t>
  </si>
  <si>
    <t>1138 Budapest XIII. kerület, Vizafogó sétány 2.</t>
  </si>
  <si>
    <t>Budapest XIV. Kerületi Jókai Mór Általános Iskola</t>
  </si>
  <si>
    <t>1145 Budapest XIV. kerület, Erzsébet királyné útja 35-37.</t>
  </si>
  <si>
    <t>Budapest XIV. Kerületi Kaffka Margit Általános Iskola</t>
  </si>
  <si>
    <t>1148 Budapest XIV. kerület, Kaffka Margit köz 2-6.</t>
  </si>
  <si>
    <t>Budapest XIV. Kerületi Liszt Ferenc Általános Iskola</t>
  </si>
  <si>
    <t>1146 Budapest XIV. kerület, Hermina út 23.</t>
  </si>
  <si>
    <t>Budapest XIV. Kerületi Móra Ferenc Általános Iskola</t>
  </si>
  <si>
    <t>1144 Budapest, Újváros park 2.</t>
  </si>
  <si>
    <t>iskolatitkar@mora-zuglo-bp.edu.hu</t>
  </si>
  <si>
    <t>01/2204874</t>
  </si>
  <si>
    <t>Budapest XIV. Kerületi Széchenyi István Általános Iskola</t>
  </si>
  <si>
    <t>1147 Budapest XIV. kerület, Telepes utca 32.</t>
  </si>
  <si>
    <t>igazgato@zugloiszechenyi.info.hu</t>
  </si>
  <si>
    <t>061/460-0965</t>
  </si>
  <si>
    <t>Budapest XVI. Kerületi Herman Ottó Általános Iskola</t>
  </si>
  <si>
    <t>1161 Budapest,  Regele János utca 43-45.</t>
  </si>
  <si>
    <t>zsuzsa.ezsias@gmail.com</t>
  </si>
  <si>
    <t>1/4055270</t>
  </si>
  <si>
    <t>Budapest XVI. Kerületi Jókai Mór Általános Iskola</t>
  </si>
  <si>
    <t>1163 Budapest XVI. Kerület, Tiszakömlő utca 29-35.</t>
  </si>
  <si>
    <t>Budapest XVI. Kerületi Szent-Györgyi Albert Általános Iskola</t>
  </si>
  <si>
    <t>1161 Budapest XVI. kerület, Csömöri út 20.</t>
  </si>
  <si>
    <t>Budapest XVII. Kerületi Gregor József Általános Iskola</t>
  </si>
  <si>
    <t>1172 Budapest XVII. kerület, Hősök tere 19-20.</t>
  </si>
  <si>
    <t>intezmenyvezeto@gregorsuli.hu</t>
  </si>
  <si>
    <t>Budapest XVII. Kerületi Kossuth Lajos Általános Iskola</t>
  </si>
  <si>
    <t>1171 Budapest XVII. kerület, Erzsébet körút 56.</t>
  </si>
  <si>
    <t>Budapest XVIII. Kerületi Bókay Árpád Általános Iskola</t>
  </si>
  <si>
    <t>1181 Budapest XVIII. kerület, Wlassics Gyula utca 69.</t>
  </si>
  <si>
    <t>Budapest XX. Kerületi Hajós Alfréd Általános Iskola</t>
  </si>
  <si>
    <t>1203 Budapest XX. kerület, Lajtha László utca 5-7.</t>
  </si>
  <si>
    <t>Budapest XX. Kerületi Nagy László Általános Iskola és Gimnázium</t>
  </si>
  <si>
    <t>1203 Budapest XX. Kerület, János utca 4.</t>
  </si>
  <si>
    <t>Budapest XXIII. Kerületi Grassalkovich Antal Általános Iskola</t>
  </si>
  <si>
    <t>1239 Budapest XXIII. kerület, Hősök tere 18-20.</t>
  </si>
  <si>
    <t>Budapesti Nemzetközi Iskola-International School of Budapest és Magyar-Angol Két Tanítási Nyelvű Általános Iskola és Gimnázium</t>
  </si>
  <si>
    <t>1121 Budapest XII. kerület, Konkoly-Thege út 21.</t>
  </si>
  <si>
    <t>Budapesti Ward Mária Általános Iskola, Gimnázium és Zeneművészeti Szakgimnázium</t>
  </si>
  <si>
    <t>1056 Budapest V. kerület, Irányi utca 3.</t>
  </si>
  <si>
    <t>Budapesti Zsidó Hitközség Scheiber Sándor Gimnázium és Általános Iskola</t>
  </si>
  <si>
    <t>1145 Budapest XIV. kerület, Laky Adolf utca 38-40.</t>
  </si>
  <si>
    <t>berniekovacs@gmail.com</t>
  </si>
  <si>
    <t>36-1-469-0277</t>
  </si>
  <si>
    <t>Budavári Általános Iskola</t>
  </si>
  <si>
    <t>1014 Budapest I. kerület, Tárnok utca 9-11.</t>
  </si>
  <si>
    <t>igazgatosag@budavari.edu.hu</t>
  </si>
  <si>
    <t>1/3751884</t>
  </si>
  <si>
    <t>Budenz József Általános Iskola és Gimnázium</t>
  </si>
  <si>
    <t>1021 Budapest II. kerület, Budenz József utca 20-22.</t>
  </si>
  <si>
    <t>titkarsag@budenznet.edu.hu</t>
  </si>
  <si>
    <t>1/3943177</t>
  </si>
  <si>
    <t>Csik Ferenc Általános Iskola és Gimnázium</t>
  </si>
  <si>
    <t>1027 Budapest II. kerület, Medve utca 5-7.</t>
  </si>
  <si>
    <t>polgaraniko@csikferenc.hu</t>
  </si>
  <si>
    <t>0630-1975654</t>
  </si>
  <si>
    <t>Csillaghegyi Általános Iskola</t>
  </si>
  <si>
    <t>1038 Budapest III. kerület, Dózsa György utca 42.</t>
  </si>
  <si>
    <t>igazgato.csillaghegyi@ebtk.hu</t>
  </si>
  <si>
    <t>1/3686651</t>
  </si>
  <si>
    <t>Diákszempont Általános Iskola és Gimnázium</t>
  </si>
  <si>
    <t>1066 Budapest, Lovag utca 9-11.</t>
  </si>
  <si>
    <t>dechertpanni@gmail.com</t>
  </si>
  <si>
    <t>0670-7085783</t>
  </si>
  <si>
    <t>Diósdi Eötvös József Német Nemzetiségi Általános Iskola és Alapfokú Művészeti Iskola</t>
  </si>
  <si>
    <t>2049 Diósd, Gárdonyi Géza utca 14.</t>
  </si>
  <si>
    <t>firgine.vaizer.edina@gmail.com</t>
  </si>
  <si>
    <t>23/381041</t>
  </si>
  <si>
    <t>Domokos Pál Péter Általános Iskola</t>
  </si>
  <si>
    <t>1119 Budapest XI. kerület, Soproni út 50.</t>
  </si>
  <si>
    <t>titkarsag@domokos.dbtk.hu</t>
  </si>
  <si>
    <t>+3612041201</t>
  </si>
  <si>
    <t>Dr. Béres József Általános Iskola</t>
  </si>
  <si>
    <t>1031 Budapest III. kerület, Keve utca 41.</t>
  </si>
  <si>
    <t>igazgato.drberesj@ebtk.hu</t>
  </si>
  <si>
    <t>1/3689220</t>
  </si>
  <si>
    <t>Dr. Mező Ferenc Általános Iskola</t>
  </si>
  <si>
    <t>1054 Budapest, Akadémia utca 3.</t>
  </si>
  <si>
    <t>titkar@mezosuli.hu</t>
  </si>
  <si>
    <t>01/3838206</t>
  </si>
  <si>
    <t>Dr. Somogyi Imre Baptista Szakképző Iskola, Technikum, Általános Iskola, Szakiskola és Gimnázium</t>
  </si>
  <si>
    <t>1204 Budapest, Pöltenberg utca 8b-14.</t>
  </si>
  <si>
    <t>Első Óbudai Német Nyelvoktató Nemzetiségi Általános Iskola</t>
  </si>
  <si>
    <t>1033 Budapest III. kerület, Vörösvári út 93.</t>
  </si>
  <si>
    <t>ELTE Bárczi Gusztáv Gyakorló Általános Iskola</t>
  </si>
  <si>
    <t>1071 Budapest VII. kerület, Damjanich utca 41-43.</t>
  </si>
  <si>
    <t>ELTE Gyertyánffy István Gyakorló Általános Iskola</t>
  </si>
  <si>
    <t>1126 Budapest XII. kerület, Kiss János altábornagy utca 42-44.</t>
  </si>
  <si>
    <t>gyakisk@gyertyanffy.elte.hu</t>
  </si>
  <si>
    <t>06-1-487-8101</t>
  </si>
  <si>
    <t>Érdi Bolyai János Általános Iskola</t>
  </si>
  <si>
    <t>2030 Érd, Erszébet utca 26-32.</t>
  </si>
  <si>
    <t>Érdi Gárdonyi Géza Általános Iskola és Gimnázium</t>
  </si>
  <si>
    <t>2030 Érd, Gárdonyi Géza utca 1/b.</t>
  </si>
  <si>
    <t>titkarsag@gardonyi-erd.hu</t>
  </si>
  <si>
    <t>23/365-140</t>
  </si>
  <si>
    <t>Érdligeti Általános Iskola</t>
  </si>
  <si>
    <t>2030 Érd, Diósdi út 95-99.</t>
  </si>
  <si>
    <t xml:space="preserve">Erzsébetvárosi Magyar-Angol Két Tanítási Nyelvű Általános Iskola és Művészeti Szakgimnázium </t>
  </si>
  <si>
    <t>1073 Budapest VII. kerület, Kertész utca 30.</t>
  </si>
  <si>
    <t>harangozohajnalka@erzsebetvarosiiskola.hu</t>
  </si>
  <si>
    <t>322-7694</t>
  </si>
  <si>
    <t>Esterházy Móric Nyelvoktató Német Nemzetiségi Általános Iskola</t>
  </si>
  <si>
    <t>8083 Csákvár, Szabadság tér 8.</t>
  </si>
  <si>
    <t>Eszterlánc Montessori Általános Iskola</t>
  </si>
  <si>
    <t>1122 Budapest, Igmándi utca 40.</t>
  </si>
  <si>
    <t>Fabriczius József Általános Iskola</t>
  </si>
  <si>
    <t>2112 Veresegyház, Fő út 77-79.</t>
  </si>
  <si>
    <t>igazgato@veresegyhaz-fabriczius.hu</t>
  </si>
  <si>
    <t>Farkasréti Általános Iskola</t>
  </si>
  <si>
    <t>1112 Budapest XI. kerület, Érdi út 2.</t>
  </si>
  <si>
    <t>intezmenyvezeto@farkasret.dbtk.hu</t>
  </si>
  <si>
    <t>+36 1 319 32 69</t>
  </si>
  <si>
    <t>Fillér Utcai Általános Iskola</t>
  </si>
  <si>
    <t>1022 Budapest II. kerület, Fillér utca 70-76.</t>
  </si>
  <si>
    <t>info@filleriskola.hu</t>
  </si>
  <si>
    <t>3266616</t>
  </si>
  <si>
    <t>Fodros Általános Iskola</t>
  </si>
  <si>
    <t>1039 Budapest III. kerület, Fodros utca 38-40.</t>
  </si>
  <si>
    <t>titkarsag.fodros@ebtk.hu</t>
  </si>
  <si>
    <t>+361/2401070</t>
  </si>
  <si>
    <t>Fürkész Innovatív Általános Iskola</t>
  </si>
  <si>
    <t>info@furkeszsuli.hu</t>
  </si>
  <si>
    <t>06304187557</t>
  </si>
  <si>
    <t>Gádor Általános Iskola</t>
  </si>
  <si>
    <t>1122 Budapest, Gádor utca 101-105.</t>
  </si>
  <si>
    <t>Gazdagrét - Csíkihegyek Általános Iskola</t>
  </si>
  <si>
    <t>1118 Budapest XI. kerület, Csíki-hegyek utca 13-15.</t>
  </si>
  <si>
    <t>intezmenyvezeto@csikihegyek.dbtk.hu</t>
  </si>
  <si>
    <t>06/1-2463245</t>
  </si>
  <si>
    <t>Gazdagrét - Törökugrató Általános Iskola</t>
  </si>
  <si>
    <t>1118 Budapest XI. kerület, Törökugrató utca 15.</t>
  </si>
  <si>
    <t>titkarsag@torokugrato.dbtk.hu</t>
  </si>
  <si>
    <t>+3612465341</t>
  </si>
  <si>
    <t>Gödöllői Damjanich János Általános Iskola</t>
  </si>
  <si>
    <t>2100 Budapest, Batthany Lajos utca 30-32.</t>
  </si>
  <si>
    <t>GRASSALKOVICH ANTAL NÉMET NEMZETISÉGI ÉS KÉTNYELVŰ ÁLTALÁNOS ISKOLA</t>
  </si>
  <si>
    <t>2220 Vecsés, Fő út 90-92.</t>
  </si>
  <si>
    <t>Grosics Gyula Katolikus Sport Általános Iskola</t>
  </si>
  <si>
    <t>1119 Budapest XI. kerület, Bikszádi utca 11-15.</t>
  </si>
  <si>
    <t>vezetoseg@grosicssuli.hu</t>
  </si>
  <si>
    <t>Gulner Gyula Általános Iskola</t>
  </si>
  <si>
    <t>1183 Budapest XVIII. kerület, Gulner Gyula utca 2.</t>
  </si>
  <si>
    <t>arihmer@gmail.com</t>
  </si>
  <si>
    <t>06/1/2913170</t>
  </si>
  <si>
    <t>Gyermekház Iskola</t>
  </si>
  <si>
    <t>1062 Budapest VI. kerület, Bajza utca 26.</t>
  </si>
  <si>
    <t>Gyömrői II. Rákóczi Ferenc Általános Iskola</t>
  </si>
  <si>
    <t>2230 Gyömrő, Bajcsy Zsilinszky u. 79-81.</t>
  </si>
  <si>
    <t>Gyulai István Sportiskolai Általános Iskola</t>
  </si>
  <si>
    <t>1202 Budapest XX. kerület, Mártírok útja 205.</t>
  </si>
  <si>
    <t>igazgato@gyulaisuli.hu</t>
  </si>
  <si>
    <t>Herceghalmi Általános Iskola és Alapfokú Művészeti Iskola</t>
  </si>
  <si>
    <t>2053 Herceghalom, Gesztenyés út 15.</t>
  </si>
  <si>
    <t>József Attila Katolikus Nyelvoktató Német Nemzetiségi Általános Iskola</t>
  </si>
  <si>
    <t>1201 Budapest XX. Kerület, Attila utca 25-27.</t>
  </si>
  <si>
    <t>jozsef20@t-online.hu</t>
  </si>
  <si>
    <t>421-01-99</t>
  </si>
  <si>
    <t>József Nádor Általános Iskola és Alapfokú Művészeti Iskola (ÖKO Iskola)</t>
  </si>
  <si>
    <t>2096 Üröm, Iskola utca 3.</t>
  </si>
  <si>
    <t>Kalász Suli Általános Iskola</t>
  </si>
  <si>
    <t>2011 Budakalász, Budai út 54.</t>
  </si>
  <si>
    <t>Kandó Téri Általános Iskola</t>
  </si>
  <si>
    <t>titkarsag@kandosuli.hu</t>
  </si>
  <si>
    <t>1/2922864</t>
  </si>
  <si>
    <t>Kapocs Magyar-Angol Két Tannyelvű Általános Iskola</t>
  </si>
  <si>
    <t>1188 Budapest XVIII. kerület, Kapocs utca 56.</t>
  </si>
  <si>
    <t>kapocsiskola@kapocsiskola.hu</t>
  </si>
  <si>
    <t>1/2954629</t>
  </si>
  <si>
    <t>Karácsony Sándor Rózsatéri Református Általános Iskola és Óvoda</t>
  </si>
  <si>
    <t>1194 Budapest XIX. kerület, Kisviola utca 44.</t>
  </si>
  <si>
    <t>Kelenvölgyi Általános Iskola</t>
  </si>
  <si>
    <t>1116 Budapest XI. kerület, Adács utca 10.</t>
  </si>
  <si>
    <t>titkarsag@kelenvolgy.dbtk.hu</t>
  </si>
  <si>
    <t>4245374</t>
  </si>
  <si>
    <t>Kesjár Csaba Általános Iskola</t>
  </si>
  <si>
    <t>2040 Budaörs, Őszibarack utca 29.</t>
  </si>
  <si>
    <t>igazgato@kesjarcs.edu.hu</t>
  </si>
  <si>
    <t>23/415607</t>
  </si>
  <si>
    <t>Kispesti Bolyai János Általános Iskola</t>
  </si>
  <si>
    <t>1195 Budapest XIX. kerület, Árpád utca 14.</t>
  </si>
  <si>
    <t>Kispesti Eötvös József Általános Iskola</t>
  </si>
  <si>
    <t>1191 Budapest XIX. kerület, Eötvös utca 13.</t>
  </si>
  <si>
    <t>Kispesti Erkel Ferenc Általános Iskola</t>
  </si>
  <si>
    <t>1192 Budapest XIX. kerület, Hungária út 11.</t>
  </si>
  <si>
    <t>erkel@iskola.kispest.hu</t>
  </si>
  <si>
    <t>1/2829644</t>
  </si>
  <si>
    <t>Kispesti Kós Károly Általános Iskola</t>
  </si>
  <si>
    <t>1192 Budapest XIX. kerület, Hungária út 28.</t>
  </si>
  <si>
    <t>koskaroly@iskola.kispest.hu</t>
  </si>
  <si>
    <t>Kispesti Pannónia Általános Iskola</t>
  </si>
  <si>
    <t>1192 Budapest, Pannónia út 12.</t>
  </si>
  <si>
    <t>Kispesti Vass Lajos Általános Iskola</t>
  </si>
  <si>
    <t>1193 Budapest XIX. kerület, Csokonai utca 9.</t>
  </si>
  <si>
    <t>Klebelsberg Kuno Általános Iskola és Gimnázium</t>
  </si>
  <si>
    <t>1028 Budapest II. kerület, Szabadság utca 23.</t>
  </si>
  <si>
    <t>klebi@klebelsberg.edu.hu</t>
  </si>
  <si>
    <t>06-1-3974569</t>
  </si>
  <si>
    <t>Kodály Zoltán Ének-zenei Általános Iskola, Gimnázium és Zenei Alapfokú Művészeti Iskola</t>
  </si>
  <si>
    <t>1022 Budapest II. kerület, Marczibányi tér 1.</t>
  </si>
  <si>
    <t>Kodály Zoltán Magyar Kórusiskola Katolikus Általános Iskola, Gimnázium, Alapfokú Művészeti Iskola és Szakgimnázium</t>
  </si>
  <si>
    <t>1015 Budapest I. kerület, Toldy Ferenc utca 28-30.</t>
  </si>
  <si>
    <t>Kolonics György Általános Iskola és Köznevelési Sportiskola</t>
  </si>
  <si>
    <t>1221 Budapest XXII. Kerület, Tompa utca 2-4.</t>
  </si>
  <si>
    <t>Kőbányai Csukás István Magyar-Angol Két Tanítási Nyelvű Általános Iskola</t>
  </si>
  <si>
    <t>1054 Budapest V. kerület, Akadémia utca 3.</t>
  </si>
  <si>
    <t>intezmenyvezeto@ulloiiskola.hu</t>
  </si>
  <si>
    <t>06/1/263-09-56</t>
  </si>
  <si>
    <t>Kőbányai Janikovszky Éva Magyar - Angol Két Tanítási Nyelvű Általános Iskola</t>
  </si>
  <si>
    <t>1105 Budapest, Kápolna tér 4.</t>
  </si>
  <si>
    <t>Kőbányai Keresztury Dezső Általános Iskola</t>
  </si>
  <si>
    <t>1106 Budapest X. kerület, Gyakorló utca 34. X./43.</t>
  </si>
  <si>
    <t>Kőbányai Széchenyi István Magyar-Német Két Tanítási Nyelvű Általános Iskola</t>
  </si>
  <si>
    <t>1108 Budapest X. kerület, Újhegyi sétány 1-3.</t>
  </si>
  <si>
    <t>Kőbányai Szent László Általános Iskola</t>
  </si>
  <si>
    <t>1105 Budapest, Szent László tér 1.</t>
  </si>
  <si>
    <t>Kreatív Általános Iskola</t>
  </si>
  <si>
    <t>1204 Budapest XX. kerület, Kakastó utca 15/a.</t>
  </si>
  <si>
    <t>igazgato.kreativ.iskola@gmail.com</t>
  </si>
  <si>
    <t>Laborc Általános Iskola</t>
  </si>
  <si>
    <t>1035 Budapest, Vihar utca 31.</t>
  </si>
  <si>
    <t>laborc.suli@gmail.com</t>
  </si>
  <si>
    <t>1/4360118</t>
  </si>
  <si>
    <t>Lágymányosi Bárdos Lajos Két Tanítási Nyelvű Általános Iskola</t>
  </si>
  <si>
    <t>1117 Budapest XI. kerület, Baranyai utca 16-18.</t>
  </si>
  <si>
    <t>intezmenyvezeto@bardos.dbtk.hu</t>
  </si>
  <si>
    <t>1/3810662</t>
  </si>
  <si>
    <t>Lauder Javne Zsidó Közösségi Óvoda, Általános Iskola, Középiskola és Zenei Alapfokú Művészeti Iskola</t>
  </si>
  <si>
    <t>1121 Budapest XII. kerület, Budakeszi út 48.</t>
  </si>
  <si>
    <t>Lisznyai Utcai Általános Iskola</t>
  </si>
  <si>
    <t>1016 Budapest I. kerület, Lisznyai utca 40-42.</t>
  </si>
  <si>
    <t>1016lisznyai@gmail.com</t>
  </si>
  <si>
    <t>1/3754284</t>
  </si>
  <si>
    <t>Magyar-Kínai Két Tanítási Nyelvű Általános Iskola és Gimnázium</t>
  </si>
  <si>
    <t>1158 Budapest XV. Kerület, Neptun utca 57.</t>
  </si>
  <si>
    <t>Marianum Német Nemzetiségi Nyelvoktató Általános Iskola és Gimnázium</t>
  </si>
  <si>
    <t>2030 Érd, Karolina utca 1.</t>
  </si>
  <si>
    <t>igazgato@marianum.hu</t>
  </si>
  <si>
    <t>23/365481</t>
  </si>
  <si>
    <t>Mátrix Suli Általános Iskola Budaörsi tagintézménye</t>
  </si>
  <si>
    <t>2040 Budaörs, Komáromi utca 16.</t>
  </si>
  <si>
    <t>Mindszenty József Római Katolikus Óvoda és Nyelvoktató Német Nemzetiségi Általános Iskola</t>
  </si>
  <si>
    <t>2040 Budaörs, Esze Tamás utca 1.</t>
  </si>
  <si>
    <t>igazgato@mindszenty-budaors.hu</t>
  </si>
  <si>
    <t>23/442615</t>
  </si>
  <si>
    <t>MOA Magán Általános Iskola</t>
  </si>
  <si>
    <t>1031 Budapest III. kerület, Kalászi  utca 5-7.</t>
  </si>
  <si>
    <t>Molnár Ferenc Magyar-Angol Két Tanítási Nyelvű Általános Iskola</t>
  </si>
  <si>
    <t>1085 Budapest VIII. kerület, Somogyi Béla utca 9-15.</t>
  </si>
  <si>
    <t>Monorierdei Fekete István Általános Iskola</t>
  </si>
  <si>
    <t>2213 Monorierdő, Szabadság utca 43.</t>
  </si>
  <si>
    <t>feketeiskola.monorierdo@gmail.com</t>
  </si>
  <si>
    <t>29/360397</t>
  </si>
  <si>
    <t>Nagykovácsi Általános Iskola</t>
  </si>
  <si>
    <t>2094 Nagykovácsi, Kossuth utca 101.</t>
  </si>
  <si>
    <t>nagykovacsisuli@gmail.com</t>
  </si>
  <si>
    <t>26/389922</t>
  </si>
  <si>
    <t>Németvölgyi Általános Iskola</t>
  </si>
  <si>
    <t>1126 Budapest XII. kerület, Németvölgyi út 46.</t>
  </si>
  <si>
    <t>dimanopuloszandrea@gmail.com</t>
  </si>
  <si>
    <t>01/2003748</t>
  </si>
  <si>
    <t>Néri Szent Fülöp Katolikus Általános Iskola</t>
  </si>
  <si>
    <t>4266 Fülöp, Kossuth utca 30.</t>
  </si>
  <si>
    <t>nerifulopialt@gmail.com</t>
  </si>
  <si>
    <t>06/30-2544972</t>
  </si>
  <si>
    <t>Óbudai Harrer Pál Angol Nyelvet Emelt Szinten Oktató Általános Iskola</t>
  </si>
  <si>
    <t>1033 Budapest III. kerület, Harrer Pál utca 7.</t>
  </si>
  <si>
    <t>igazgato.harrerp@ebtk.hu</t>
  </si>
  <si>
    <t>1/2500807, 1/2500887, 1/454-1510</t>
  </si>
  <si>
    <t>Óbudai II. Rákóczi Ferenc Általános Iskola</t>
  </si>
  <si>
    <t>1037  Budapest III. kerület, Erdőalja út 5.</t>
  </si>
  <si>
    <t>Óbudai Nagy László Magyar-Angol Két Tanítási Nyelvű Általános Iskola</t>
  </si>
  <si>
    <t>1035 Budapest , Váradi u.15/b</t>
  </si>
  <si>
    <t>igazgato.obudainagylaszlo@ebtk.hu</t>
  </si>
  <si>
    <t>1/3887747</t>
  </si>
  <si>
    <t>Orchidea Magyar-Angol Két Tanítási Nyelvű Óvoda, Általános Iskola és Gimnázium</t>
  </si>
  <si>
    <t>1139 Budapest XIII. kerület, Hajdú utca 18-24.</t>
  </si>
  <si>
    <t>Osztrák-Magyar Európaiskola</t>
  </si>
  <si>
    <t>1126 Budapest XII. kerület, Istenhegyi utca 32.</t>
  </si>
  <si>
    <t>Pannonia Sacra Katolikus Általános Iskola és Óvoda</t>
  </si>
  <si>
    <t>1122 Budapest, Csaba utca 16/C</t>
  </si>
  <si>
    <t>Pasaréti Szabó Lőrinc Magyar-Angol Két Tanítási Nyelvű Általános Iskola és Gimnázium</t>
  </si>
  <si>
    <t>1026 Budapest II. kerület, Pasaréti út 191-193.</t>
  </si>
  <si>
    <t>igazgato@szli.hu</t>
  </si>
  <si>
    <t>2751097</t>
  </si>
  <si>
    <t>Patrona Hungariae Katolikus Iskolaközpont</t>
  </si>
  <si>
    <t>1092 Budapest, Knézich utca 5-7.</t>
  </si>
  <si>
    <t>Pestszentlőrinci Német Nemzetiségi Általános Iskola</t>
  </si>
  <si>
    <t>1184 Budapest XVIII. kerület, Üllői út 380-382.</t>
  </si>
  <si>
    <t>iskola@pirosiskola.hu</t>
  </si>
  <si>
    <t>1/2910519</t>
  </si>
  <si>
    <t>Pilisborosjenői Német Nemzetiségi Általános Iskola és Alapfokú Művészeti Iskola</t>
  </si>
  <si>
    <t>2097 Pilisborosjenő, Fő út 1.</t>
  </si>
  <si>
    <t>Piliscsabai Palánta Általános Iskola</t>
  </si>
  <si>
    <t>2085 Pilisvörösvár, Kisvasút utca 5.</t>
  </si>
  <si>
    <t>Pipacsvirág Magyar-Angol Két Tanítási Nyelvű Általános Iskola</t>
  </si>
  <si>
    <t>2089 Telki, Muskátli utca 2.</t>
  </si>
  <si>
    <t>farkasjudit63@gmail.com</t>
  </si>
  <si>
    <t>26/920-810</t>
  </si>
  <si>
    <t>Puzzle Óvoda és Általános Iskola</t>
  </si>
  <si>
    <t>1056 Budapest V. kerület, Fővám tér 2-3. Félemelet 3.</t>
  </si>
  <si>
    <t>tanodak@gmail.com</t>
  </si>
  <si>
    <t>+3620 9351537</t>
  </si>
  <si>
    <t>Rákospalotai Meixner Általános Iskola és Alapfokú Művészeti Iskola</t>
  </si>
  <si>
    <t>1155 Budapest XV. kerület, Tóth István utca 100.</t>
  </si>
  <si>
    <t>Remetekertvárosi Általános Iskola</t>
  </si>
  <si>
    <t>1028 Budapest II. kerület, Máriaremetei út 71.</t>
  </si>
  <si>
    <t>Ritsmann Pál Német Nemzetiségi Általános Iskola</t>
  </si>
  <si>
    <t>2051 Biatorbágy, Karinthy Frigyes utca 4.</t>
  </si>
  <si>
    <t>Rózsadombi Általános Iskola</t>
  </si>
  <si>
    <t>1025 Budapest II. kerület, Törökvész út 67-69.</t>
  </si>
  <si>
    <t>igazgato@torokvesz.hu</t>
  </si>
  <si>
    <t>1/3256580</t>
  </si>
  <si>
    <t>Rózsakerti Demjén István Református Általános Iskola és Gimnázium</t>
  </si>
  <si>
    <t>1223 Budapest XXII. kerület, Rákóczi út 16.</t>
  </si>
  <si>
    <t>Sashegyi Arany János Általános Iskola és Gimnázium</t>
  </si>
  <si>
    <t>1124 Budapest XII. kerület, Meredek utca 1.</t>
  </si>
  <si>
    <t>patko.lajos@gmail.com</t>
  </si>
  <si>
    <t>1/319 3380</t>
  </si>
  <si>
    <t>SEK Budapest Óvoda, Általános Iskola és Gimnázium</t>
  </si>
  <si>
    <t>1021 Budapest II. kerület, Hűvösvölgyi út 131.</t>
  </si>
  <si>
    <t>Solymári Hunyadi Mátyás Német Nemzetiségi Általános Iskola, Alapfokú Művészeti Iskola</t>
  </si>
  <si>
    <t>2083 Solymár, Templom tér 26.</t>
  </si>
  <si>
    <t>titkarsag.solymar@gmail.com</t>
  </si>
  <si>
    <t>26/560-812</t>
  </si>
  <si>
    <t>Svábhegyi Jókai Mór Általános Iskola és Német Nemzetiségi Általános Iskola</t>
  </si>
  <si>
    <t>1125 Budapest XII. kerület, Diana utca 4.</t>
  </si>
  <si>
    <t>jokai@jokaiiskola.hu</t>
  </si>
  <si>
    <t>06-1/395-81-67</t>
  </si>
  <si>
    <t>Szent Angéla Ferences Általános Iskola és Gimnázium</t>
  </si>
  <si>
    <t>1024 Budapest II. kerület, Ady Endre utca 3.</t>
  </si>
  <si>
    <t>titkarsag@szentangela.hu</t>
  </si>
  <si>
    <t>+3613163818</t>
  </si>
  <si>
    <t>Szent II. János Pál Óvoda, Általános Iskola és Gimnázium</t>
  </si>
  <si>
    <t>1116 Budapest, Mezőkövesd utca 10.</t>
  </si>
  <si>
    <t>info@janospal.hu</t>
  </si>
  <si>
    <t>01/2014328</t>
  </si>
  <si>
    <t>Szent Imre Katolikus Óvoda és Általános Iskola</t>
  </si>
  <si>
    <t>6000 Kecskemét, Szent Imre utca 9.</t>
  </si>
  <si>
    <t>igazgato@szentimre-kmet.hu</t>
  </si>
  <si>
    <t>76/505-736</t>
  </si>
  <si>
    <t>Szent János Apostol Katolikus Általános Iskola és Óvoda</t>
  </si>
  <si>
    <t>1071 Budapest VII. kerület, Damjanich utca 48</t>
  </si>
  <si>
    <t>igazgato@szentjanos.hu</t>
  </si>
  <si>
    <t>1/3692148</t>
  </si>
  <si>
    <t>Szent Korona Általános Iskola</t>
  </si>
  <si>
    <t>1155 Budapest XV. Kerület, Szent Korona útja 8. 8.em.24.</t>
  </si>
  <si>
    <t>sztkoronaiskola@gmail.com</t>
  </si>
  <si>
    <t>1/3070008</t>
  </si>
  <si>
    <t>Szentendrei II. Rákóczi Feren Általános Iskola és Gimnázium</t>
  </si>
  <si>
    <t>2000 Szentendre, Rákóczi Ferenc utca 6.</t>
  </si>
  <si>
    <t>Szentistvántelepi Általános Iskola</t>
  </si>
  <si>
    <t>2011 Budakalász, Martinovics utca 9.</t>
  </si>
  <si>
    <t>igazgato@szentistvantelepi-iskola.hu</t>
  </si>
  <si>
    <t>26/340209</t>
  </si>
  <si>
    <t>Tamási Áron Általános Iskola, Gimnázium és Német Nemzetiségi Gimnázium</t>
  </si>
  <si>
    <t>1124 Budapest XII. kerület, Mártonhegyi út 34.</t>
  </si>
  <si>
    <t>tamasi@tamasiaroniskola.hu</t>
  </si>
  <si>
    <t>1/4570719</t>
  </si>
  <si>
    <t>Templomdombi Általános Iskola</t>
  </si>
  <si>
    <t>2000 Szentendre, Alkotmány utca 12.</t>
  </si>
  <si>
    <t>tenkesne.eniko@templomdomb.hu</t>
  </si>
  <si>
    <t>30/7144478</t>
  </si>
  <si>
    <t>Terézvárosi Magyar-Angol, Magyar-Német Két Tannyelvű Általános Iskola</t>
  </si>
  <si>
    <t>1065 Budapest VI. kerület, Pethő Sándor utca 4.</t>
  </si>
  <si>
    <t>martikan.beatrix@terket.edu.hu</t>
  </si>
  <si>
    <t>1/3217349</t>
  </si>
  <si>
    <t>Testnevelési Egyetem Gyakorló Sportiskolai Általános Iskola és Gimnázium</t>
  </si>
  <si>
    <t>1125 Budapest XII. kerület, Diana utca 35-37.</t>
  </si>
  <si>
    <t>Új Budai Alma Mater Általános Iskola, Alapfokú Művészeti Iskola és Óvoda</t>
  </si>
  <si>
    <t>1122 Budapest, Muskétás utca 1.</t>
  </si>
  <si>
    <t>info@ujalma.hu</t>
  </si>
  <si>
    <t>Újbudai Ádám Jenő Általános Iskola</t>
  </si>
  <si>
    <t>1118 Budapest XI. kerület, Köbölkút utca 27.</t>
  </si>
  <si>
    <t>vezetoseg@adamjeno.hu</t>
  </si>
  <si>
    <t>0613864610</t>
  </si>
  <si>
    <t>Újbudai Bocskai István Általános Iskola</t>
  </si>
  <si>
    <t>1113 Budapest XI. kerület, Bocskai út 47-49.</t>
  </si>
  <si>
    <t>intezmenyvezeto@bocskai.dbtk.hu</t>
  </si>
  <si>
    <t>2099163</t>
  </si>
  <si>
    <t>Újbudai Gárdonyi Géza Általános Iskola</t>
  </si>
  <si>
    <t>1114 Budapest XI. kerület, Bartók Béla út 27.</t>
  </si>
  <si>
    <t>titkarsag@gardonyi.dbtk.hu</t>
  </si>
  <si>
    <t>3810672</t>
  </si>
  <si>
    <t>Újbudai Grosics Gyula Sport Általános Iskola</t>
  </si>
  <si>
    <t>1119 Budapest,  Bikszádi utca 11-15.</t>
  </si>
  <si>
    <t>Újbudai Petőfi Sándor Általános Iskola</t>
  </si>
  <si>
    <t>1116 Budapest XI. kerület, Kiskőrös utca 1.</t>
  </si>
  <si>
    <t>Újbudai Teleki Blanka Általános Iskola</t>
  </si>
  <si>
    <t>1119 Budapest XI. kerület, Bikszádi utca 61-63.</t>
  </si>
  <si>
    <t>hehl.eva@teleki.delbudaitk.hu</t>
  </si>
  <si>
    <t>2057171</t>
  </si>
  <si>
    <t>Újlaki Magyar-Olasz Két Tanítási Nyelvű Általános Iskola</t>
  </si>
  <si>
    <t>1023 Budapest II. kerület, Ürömi utca 64.</t>
  </si>
  <si>
    <t>igazgato.ujlaki@gmail.com</t>
  </si>
  <si>
    <t>3350720</t>
  </si>
  <si>
    <t>Vajda Péter Ének-zenei Általános és Sportiskola</t>
  </si>
  <si>
    <t>1089 Budapest VIII. kerület, Vajda Péter utca 25-31.</t>
  </si>
  <si>
    <t>Városmajori Kós Károly Általános Iskola</t>
  </si>
  <si>
    <t>1122 Budapest XII. kerület, Városmajor utca 59.</t>
  </si>
  <si>
    <t>mategyula.koskaroly@gmail.com</t>
  </si>
  <si>
    <t>06 1 225 0967</t>
  </si>
  <si>
    <t>Virányos Általános Iskola</t>
  </si>
  <si>
    <t>1125 Budapest XII. kerület, Virányos út 48.</t>
  </si>
  <si>
    <t>viraltisk@t-online.hu</t>
  </si>
  <si>
    <t>3945015</t>
  </si>
  <si>
    <t>Zimándy Ignác Általános Iskola</t>
  </si>
  <si>
    <t>2045 Törökbálint, Dózsa György utca 15.</t>
  </si>
  <si>
    <t>zimandy@torokbalint.hu</t>
  </si>
  <si>
    <t>23/338151</t>
  </si>
  <si>
    <t>Zugligeti Általános Iskola</t>
  </si>
  <si>
    <t>1121 Budapest XII. kerület, Zugligeti út 113.</t>
  </si>
  <si>
    <t>postmaster@zugligetialtisk.t-online.hu</t>
  </si>
  <si>
    <t>1/2008721</t>
  </si>
  <si>
    <t>Zuglói Arany János Általános Iskola és Alapfokú Művészeti Iskola</t>
  </si>
  <si>
    <t>1145 Budapest XIV. kerület, Újvidék tér 3.</t>
  </si>
  <si>
    <t>igazgato@aranyjanos-zuglo.edu.hu</t>
  </si>
  <si>
    <t>01/3836398</t>
  </si>
  <si>
    <t>Zuglói Heltai Gáspár Általános Iskola</t>
  </si>
  <si>
    <t>1148 Budapest XIV. kerület, Padlizsán utca 11-13.</t>
  </si>
  <si>
    <t>zugloiheltai@gmail.com</t>
  </si>
  <si>
    <t>01/3630202</t>
  </si>
  <si>
    <t>Zuglói Herman Ottó Tudásközpont Általános Iskola</t>
  </si>
  <si>
    <t>1149 Budapest XIV. kerület, Egressy út 69.</t>
  </si>
  <si>
    <t>igazgato@hermantudaskozpont.hu</t>
  </si>
  <si>
    <t>06/1/4670926</t>
  </si>
  <si>
    <t>sorsz</t>
  </si>
  <si>
    <t>iktsz</t>
  </si>
  <si>
    <t>bizottsag</t>
  </si>
  <si>
    <t>datum_nap</t>
  </si>
  <si>
    <t>rangsor</t>
  </si>
  <si>
    <t>idopont_kiadva</t>
  </si>
  <si>
    <t>oktazon</t>
  </si>
  <si>
    <t>f_nev</t>
  </si>
  <si>
    <t>f_szul_hely</t>
  </si>
  <si>
    <t>f_szul_ido</t>
  </si>
  <si>
    <t>f_a_nev</t>
  </si>
  <si>
    <t>tel</t>
  </si>
  <si>
    <t>a_cim</t>
  </si>
  <si>
    <t>ert_nev</t>
  </si>
  <si>
    <t>ert_cim</t>
  </si>
  <si>
    <t>iskom</t>
  </si>
  <si>
    <t>i_cim</t>
  </si>
  <si>
    <t>i_mail</t>
  </si>
  <si>
    <t>p_magyar</t>
  </si>
  <si>
    <t>p_matek</t>
  </si>
  <si>
    <t>irasbeliossz</t>
  </si>
  <si>
    <t>irasbeliossz+szorzo</t>
  </si>
  <si>
    <t>p_bizonyitvany</t>
  </si>
  <si>
    <t>biziirasbeliossz</t>
  </si>
  <si>
    <t>szobeli</t>
  </si>
  <si>
    <t>p_mindossz</t>
  </si>
  <si>
    <t>f_hatranyos</t>
  </si>
  <si>
    <t>I_ker_irsz</t>
  </si>
  <si>
    <t>f_SNI2</t>
  </si>
  <si>
    <t>f_BTNN</t>
  </si>
  <si>
    <t>f_testver</t>
  </si>
  <si>
    <t>f_jelige</t>
  </si>
  <si>
    <t>j_1000</t>
  </si>
  <si>
    <t>j_2000</t>
  </si>
  <si>
    <t>j_3000</t>
  </si>
  <si>
    <t>j_4000</t>
  </si>
  <si>
    <t>megjegyzes</t>
  </si>
  <si>
    <t>sajat megjegyzes</t>
  </si>
  <si>
    <t>jelszo</t>
  </si>
  <si>
    <t>file_url</t>
  </si>
  <si>
    <t>x</t>
  </si>
  <si>
    <t>Albert-Nagy Flóra</t>
  </si>
  <si>
    <t>Antal Eszter</t>
  </si>
  <si>
    <t>Antal Virág</t>
  </si>
  <si>
    <t>Aparácz Lujza Adelina</t>
  </si>
  <si>
    <t>Babák Borka</t>
  </si>
  <si>
    <t>Bacher Kitti</t>
  </si>
  <si>
    <t>Bácsfai András</t>
  </si>
  <si>
    <t>Bagyura Pál</t>
  </si>
  <si>
    <t>Bajzak Milos</t>
  </si>
  <si>
    <t>Bak Imola</t>
  </si>
  <si>
    <t>Bakos Izabella</t>
  </si>
  <si>
    <t>Bakos Zsigmond</t>
  </si>
  <si>
    <t>Baky Liza Veronika</t>
  </si>
  <si>
    <t>Balaton Fanni</t>
  </si>
  <si>
    <t>Balázs Elza</t>
  </si>
  <si>
    <t>Bálint Lianna Írisz</t>
  </si>
  <si>
    <t>Balogh Vince</t>
  </si>
  <si>
    <t>Bán Szofi</t>
  </si>
  <si>
    <t>Bannerth Emília</t>
  </si>
  <si>
    <t>Bányász Gergő</t>
  </si>
  <si>
    <t>Baranyi-Nagy Lotti</t>
  </si>
  <si>
    <t>Bárdy-Nagy Marina</t>
  </si>
  <si>
    <t>Báron Emma Rebeka</t>
  </si>
  <si>
    <t>Bathó Zsombor</t>
  </si>
  <si>
    <t>Benő Ármin</t>
  </si>
  <si>
    <t>Bényei-Bazsa Botond</t>
  </si>
  <si>
    <t>Berky Bence Dániel</t>
  </si>
  <si>
    <t>Bieless Léda</t>
  </si>
  <si>
    <t>Bikki Zsolna</t>
  </si>
  <si>
    <t>Biró Benedek</t>
  </si>
  <si>
    <t>Blazsek Lili</t>
  </si>
  <si>
    <t>Bodó Lujza Mira</t>
  </si>
  <si>
    <t>Bognár Anna Eszter</t>
  </si>
  <si>
    <t>Bogsán Illés Márk</t>
  </si>
  <si>
    <t>Borbély-Pecze Janna</t>
  </si>
  <si>
    <t>Bordás Alíz</t>
  </si>
  <si>
    <t>Bordós Ella Gréta</t>
  </si>
  <si>
    <t>Bozó Gusztáv Fülöp</t>
  </si>
  <si>
    <t>Bőcs Izabella</t>
  </si>
  <si>
    <t>Braun Áron</t>
  </si>
  <si>
    <t>Bruckner Lilla</t>
  </si>
  <si>
    <t>Bujdosó Márton</t>
  </si>
  <si>
    <t>Bukta András</t>
  </si>
  <si>
    <t>Bun Rókus</t>
  </si>
  <si>
    <t>Burucs Bence</t>
  </si>
  <si>
    <t>Czirják Luca</t>
  </si>
  <si>
    <t>Császár Hanna Rebeka</t>
  </si>
  <si>
    <t>Cser Emma Mara</t>
  </si>
  <si>
    <t>Cserháti Gertrúd</t>
  </si>
  <si>
    <t>Csete Julianna</t>
  </si>
  <si>
    <t>Csíky Bálint</t>
  </si>
  <si>
    <t>Csipes Anna Boglárka</t>
  </si>
  <si>
    <t>Csóra Alíz</t>
  </si>
  <si>
    <t>Csordás Ada</t>
  </si>
  <si>
    <t>Csury Sebestyén Ottó</t>
  </si>
  <si>
    <t>Danczkay Martin Béla</t>
  </si>
  <si>
    <t>Dancsi Benedek</t>
  </si>
  <si>
    <t>Dani Zita</t>
  </si>
  <si>
    <t>Darabos Félix</t>
  </si>
  <si>
    <t>Darányi Richárd</t>
  </si>
  <si>
    <t>Darvas Máté</t>
  </si>
  <si>
    <t>Davis Sonya Charlotte</t>
  </si>
  <si>
    <t>Deák Vince</t>
  </si>
  <si>
    <t>Debreceni Csongor</t>
  </si>
  <si>
    <t>Dévai-Lantos Lilla</t>
  </si>
  <si>
    <t>Dobai Levente</t>
  </si>
  <si>
    <t>Domokos Kíra</t>
  </si>
  <si>
    <t>Drahos Márk</t>
  </si>
  <si>
    <t>Drozdy Győző Levente</t>
  </si>
  <si>
    <t>Durst Ábel</t>
  </si>
  <si>
    <t>Dyke András János</t>
  </si>
  <si>
    <t>Elek Dániel</t>
  </si>
  <si>
    <t>Eörsi Jakab</t>
  </si>
  <si>
    <t>Erdélyi Benedek</t>
  </si>
  <si>
    <t>Farkas Anna</t>
  </si>
  <si>
    <t>Farkas Johanna Glória</t>
  </si>
  <si>
    <t>Fazekas Márk Ferdinánd</t>
  </si>
  <si>
    <t>Fazekas Nadin</t>
  </si>
  <si>
    <t>Fehér Alíz Janka</t>
  </si>
  <si>
    <t>Fehérvári Júlia</t>
  </si>
  <si>
    <t>Fejes Borbála</t>
  </si>
  <si>
    <t>Fejes Veronika</t>
  </si>
  <si>
    <t>Ficzere Iván Boldizsár</t>
  </si>
  <si>
    <t>Fodor Dalma Ditta</t>
  </si>
  <si>
    <t>Fonó Gréta Mira</t>
  </si>
  <si>
    <t>Fontanini Gioele Francescomaria</t>
  </si>
  <si>
    <t>Főfai Péter</t>
  </si>
  <si>
    <t>Frey Kolos Attila</t>
  </si>
  <si>
    <t>Fülöp Rozina</t>
  </si>
  <si>
    <t>Fülöp Sára</t>
  </si>
  <si>
    <t>Gagyi-Pálffy Lilla Róza</t>
  </si>
  <si>
    <t>Gagyi-Pálffy Mária Lujza</t>
  </si>
  <si>
    <t>Gal Laura</t>
  </si>
  <si>
    <t>Gál-Joósz Gergely</t>
  </si>
  <si>
    <t>Garai Mihály</t>
  </si>
  <si>
    <t>Garancsi Gréta</t>
  </si>
  <si>
    <t>Gasztonyi Linda</t>
  </si>
  <si>
    <t>-</t>
  </si>
  <si>
    <t>Geller Gordon</t>
  </si>
  <si>
    <t>Gergátz Gábor</t>
  </si>
  <si>
    <t>Gilincsek Nándor</t>
  </si>
  <si>
    <t>GLOVICZKY CSONGOR ÁDÁM</t>
  </si>
  <si>
    <t>Gondolovics Lia</t>
  </si>
  <si>
    <t>Gőcze Barnabás</t>
  </si>
  <si>
    <t>Grosz-Herwerth Anna Dorottya</t>
  </si>
  <si>
    <t>Gulyás Dávid</t>
  </si>
  <si>
    <t>Győri Laura</t>
  </si>
  <si>
    <t>Hajdu Anna</t>
  </si>
  <si>
    <t>Haumann Frida</t>
  </si>
  <si>
    <t>Hegedűs Kamilla</t>
  </si>
  <si>
    <t>Hegel Anna Judit</t>
  </si>
  <si>
    <t>Helyes-Kakszi Henrik Imre</t>
  </si>
  <si>
    <t>Henger Jakab Soma</t>
  </si>
  <si>
    <t>Herber Panni</t>
  </si>
  <si>
    <t>Hetyei Pál Barnabás</t>
  </si>
  <si>
    <t>Hoffmann Gellért Ádám</t>
  </si>
  <si>
    <t>Holló Nándor</t>
  </si>
  <si>
    <t>Hollósi Dóra</t>
  </si>
  <si>
    <t>Hoós Hannaróza</t>
  </si>
  <si>
    <t>Horváth Márton</t>
  </si>
  <si>
    <t>Hummel Sámuel</t>
  </si>
  <si>
    <t>Hussami Illés György</t>
  </si>
  <si>
    <t>Hülber Hanna</t>
  </si>
  <si>
    <t>Ilosvay Patrik Máté</t>
  </si>
  <si>
    <t>Irinyi Bence</t>
  </si>
  <si>
    <t>Jancsó Bence Kolos</t>
  </si>
  <si>
    <t>Jancsó Luca Csenge</t>
  </si>
  <si>
    <t>Janzsó-Sugita Nándor Asahi</t>
  </si>
  <si>
    <t>Jobbágy-Biró Réka</t>
  </si>
  <si>
    <t>Juhász Anna Letícia</t>
  </si>
  <si>
    <t>Juhász Gréta</t>
  </si>
  <si>
    <t>Kajli Kristóf</t>
  </si>
  <si>
    <t>Kakuk Tamás</t>
  </si>
  <si>
    <t>Kalcsú Martin Milán</t>
  </si>
  <si>
    <t>Kállai Sophie</t>
  </si>
  <si>
    <t>Kaló András</t>
  </si>
  <si>
    <t>Kárász Dániel</t>
  </si>
  <si>
    <t>Kátai-Pál Áron</t>
  </si>
  <si>
    <t>Kerekes Aliza</t>
  </si>
  <si>
    <t>Keresztszeghy Janka Rozina</t>
  </si>
  <si>
    <t>Kertész Szofi</t>
  </si>
  <si>
    <t>Kiefer Nóra</t>
  </si>
  <si>
    <t>Király Benedek</t>
  </si>
  <si>
    <t>Kis-Benke Artúr</t>
  </si>
  <si>
    <t>Kiss Dominik Attila</t>
  </si>
  <si>
    <t>Kiss Fanni</t>
  </si>
  <si>
    <t>Kiss Nándor</t>
  </si>
  <si>
    <t>Kiss Panna</t>
  </si>
  <si>
    <t>Kohári Bálint István</t>
  </si>
  <si>
    <t>Konstantinides Leon</t>
  </si>
  <si>
    <t>Korponai Bálint</t>
  </si>
  <si>
    <t>Korsinek Júlia</t>
  </si>
  <si>
    <t>Kovács Adél</t>
  </si>
  <si>
    <t>Kovács Boróka Terézia</t>
  </si>
  <si>
    <t>Kovács Dávid</t>
  </si>
  <si>
    <t>Kovács Fanni</t>
  </si>
  <si>
    <t>Kovács Márton</t>
  </si>
  <si>
    <t>Kovács Milán Zalán</t>
  </si>
  <si>
    <t>Kovács Mór Márton</t>
  </si>
  <si>
    <t>Kovács Zorán András</t>
  </si>
  <si>
    <t>Kovács-Holczer Borka</t>
  </si>
  <si>
    <t>Kozma Sólyom Vajk</t>
  </si>
  <si>
    <t>Kőhalmi Lilla Zorka</t>
  </si>
  <si>
    <t>Kökény André</t>
  </si>
  <si>
    <t>Budapest</t>
  </si>
  <si>
    <t>Kökényesi Zoé</t>
  </si>
  <si>
    <t>Krasznai Szilárd Benedek</t>
  </si>
  <si>
    <t>Krázli Kitti Bella</t>
  </si>
  <si>
    <t>Kriston Aliz</t>
  </si>
  <si>
    <t>Kulcsár Soma</t>
  </si>
  <si>
    <t>Kupcsulik Márk Alajos</t>
  </si>
  <si>
    <t>Lamere-Nyakas Izabell</t>
  </si>
  <si>
    <t>Lasz Zoltán</t>
  </si>
  <si>
    <t>László Katalin</t>
  </si>
  <si>
    <t>Lautenbach Lisa</t>
  </si>
  <si>
    <t>Lehoczki Péter</t>
  </si>
  <si>
    <t>Lengyel Liza</t>
  </si>
  <si>
    <t>Lengyel Soma</t>
  </si>
  <si>
    <t>Lepsényi Márk</t>
  </si>
  <si>
    <t>Lévai Heléna</t>
  </si>
  <si>
    <t>Levárdy Mátyás</t>
  </si>
  <si>
    <t>LI CHONGHE</t>
  </si>
  <si>
    <t>LI RUO LIN</t>
  </si>
  <si>
    <t>Ligeti-Harth Szonja Mása</t>
  </si>
  <si>
    <t>Liszits Bence</t>
  </si>
  <si>
    <t>Liu Xinyi</t>
  </si>
  <si>
    <t>Lőrinczy Sára</t>
  </si>
  <si>
    <t>Lőw Mihály</t>
  </si>
  <si>
    <t>Lukács Nóra</t>
  </si>
  <si>
    <t>Maarouf Amira</t>
  </si>
  <si>
    <t>Majoros Ármin Márk</t>
  </si>
  <si>
    <t>Mangel Léna</t>
  </si>
  <si>
    <t>Markovich Mátyás</t>
  </si>
  <si>
    <t>Marossy Klára Ilona</t>
  </si>
  <si>
    <t>Martits Mira</t>
  </si>
  <si>
    <t>Máté Sámuel Gábor</t>
  </si>
  <si>
    <t>Mati-Ifkó Margaréta Éva</t>
  </si>
  <si>
    <t>Matók Vendel Viktor</t>
  </si>
  <si>
    <t>Meleg-Sugiyama Soma</t>
  </si>
  <si>
    <t>Mihálka Benedek</t>
  </si>
  <si>
    <t>Mihály-Rácz Eszter</t>
  </si>
  <si>
    <t>Mihók Dóra Ida</t>
  </si>
  <si>
    <t>Miklósi-Kovács Boldizsár</t>
  </si>
  <si>
    <t>Miklós-Király Sarolta</t>
  </si>
  <si>
    <t>Mikusi Gergely Bálint</t>
  </si>
  <si>
    <t>Molnár-Szabó Marcell</t>
  </si>
  <si>
    <t>Moravcsik Stella Sára</t>
  </si>
  <si>
    <t>Nábrády Zakariás Márk</t>
  </si>
  <si>
    <t>Nádasdi Dániel</t>
  </si>
  <si>
    <t>Nagy Ábel Zakariás</t>
  </si>
  <si>
    <t>Nagy Barbara Lujza</t>
  </si>
  <si>
    <t>Nagy Boldizsár Alex</t>
  </si>
  <si>
    <t>Nagy Eszter</t>
  </si>
  <si>
    <t>Nagy Julianna</t>
  </si>
  <si>
    <t>Nagy Orsolya</t>
  </si>
  <si>
    <t>Nagy-György Julianna</t>
  </si>
  <si>
    <t>Nagy-Kende Roland Rikárdó</t>
  </si>
  <si>
    <t>Nagy-Tóth András</t>
  </si>
  <si>
    <t>Nálhi Kamilla</t>
  </si>
  <si>
    <t>Nátrán Áron Bence</t>
  </si>
  <si>
    <t>Negyeliczky Max Emilián</t>
  </si>
  <si>
    <t>Németh Panka Sára</t>
  </si>
  <si>
    <t>Nikolits Kornél Marcell</t>
  </si>
  <si>
    <t>Nyári Lili</t>
  </si>
  <si>
    <t>Nyitrai Misa János</t>
  </si>
  <si>
    <t>Oláh Áron</t>
  </si>
  <si>
    <t>Olaszy Milán Zsolt</t>
  </si>
  <si>
    <t>Ormai Bertalan</t>
  </si>
  <si>
    <t>Őri Dávid</t>
  </si>
  <si>
    <t>Paczona Erik</t>
  </si>
  <si>
    <t>Palicz Erik</t>
  </si>
  <si>
    <t>Pankovics Viktor Regő</t>
  </si>
  <si>
    <t>Pantner Huba</t>
  </si>
  <si>
    <t>Pápai Vencel Gábor</t>
  </si>
  <si>
    <t>Papp Dániel</t>
  </si>
  <si>
    <t>Papp Lilla</t>
  </si>
  <si>
    <t>Pártl Dorottya</t>
  </si>
  <si>
    <t>PATAKI STEFÁNIA SZONJA</t>
  </si>
  <si>
    <t>Paveszka László Gábor</t>
  </si>
  <si>
    <t>Perger Szonja</t>
  </si>
  <si>
    <t>Péter Csenge Anna</t>
  </si>
  <si>
    <t>Pilz Dániel Benett</t>
  </si>
  <si>
    <t>Pogány Liza</t>
  </si>
  <si>
    <t>Polgár Máté</t>
  </si>
  <si>
    <t>Polgár Mikolt</t>
  </si>
  <si>
    <t>Pollák Panka Szeréna</t>
  </si>
  <si>
    <t>Potos Eszter</t>
  </si>
  <si>
    <t>Preseka Hanga Viola</t>
  </si>
  <si>
    <t>Puss Bence</t>
  </si>
  <si>
    <t>Pusztai Botond</t>
  </si>
  <si>
    <t>Rákosi Mihály Imre</t>
  </si>
  <si>
    <t>Répássy Sebestyén</t>
  </si>
  <si>
    <t>Richter Oliver Kahu</t>
  </si>
  <si>
    <t>Rind Lénárd</t>
  </si>
  <si>
    <t>Ritecz János</t>
  </si>
  <si>
    <t>Rózsa Gergely Márk</t>
  </si>
  <si>
    <t>Sánta Imre Ádám</t>
  </si>
  <si>
    <t>Sárossy Johanna</t>
  </si>
  <si>
    <t>Schannen Emmett Kristóf</t>
  </si>
  <si>
    <t>Schiffer Lilla</t>
  </si>
  <si>
    <t>Segretain Iris Ilona</t>
  </si>
  <si>
    <t>Serbán Gréta</t>
  </si>
  <si>
    <t>Seregi  Bonifác András</t>
  </si>
  <si>
    <t>SHENG YUQIAN</t>
  </si>
  <si>
    <t>SHI HAOZE</t>
  </si>
  <si>
    <t>Sik Rozália</t>
  </si>
  <si>
    <t>Siklósi Elza Klára</t>
  </si>
  <si>
    <t>Simon Emília Magdolna</t>
  </si>
  <si>
    <t>Simon Enikő</t>
  </si>
  <si>
    <t>Simon Magdolna Katalin</t>
  </si>
  <si>
    <t>Soós Albert László</t>
  </si>
  <si>
    <t>Sopov Dániel</t>
  </si>
  <si>
    <t>Sopov Marcell</t>
  </si>
  <si>
    <t>Stecbauer Zsófia Mária</t>
  </si>
  <si>
    <t>Surányi Dorina Lea</t>
  </si>
  <si>
    <t>Szabó András Móric</t>
  </si>
  <si>
    <t>Szabó Eszter</t>
  </si>
  <si>
    <t>Szalay Liliána</t>
  </si>
  <si>
    <t>Szarka Eliza Éva</t>
  </si>
  <si>
    <t>Szaszovszky Léna</t>
  </si>
  <si>
    <t>Székely Csenge Dóra</t>
  </si>
  <si>
    <t>Székely Dávid</t>
  </si>
  <si>
    <t>Székely-Körmöczy Réka</t>
  </si>
  <si>
    <t>Szendi-Nagy Léna</t>
  </si>
  <si>
    <t>Szendrei Ábel</t>
  </si>
  <si>
    <t>Szenthe Szófia Zille</t>
  </si>
  <si>
    <t>Szerencsi Milán</t>
  </si>
  <si>
    <t>Szigeti Botond Márk</t>
  </si>
  <si>
    <t>Szigeti-Böröcz Ida</t>
  </si>
  <si>
    <t>Sziklai Lili</t>
  </si>
  <si>
    <t>Szokoli Johanna</t>
  </si>
  <si>
    <t>Sztarovics Janka</t>
  </si>
  <si>
    <t>Szűcs Donát Péter</t>
  </si>
  <si>
    <t>Tajti-Orbán Ágoston András</t>
  </si>
  <si>
    <t>Takács Janka</t>
  </si>
  <si>
    <t>Tálas Erik Péter</t>
  </si>
  <si>
    <t>Tamási-Kiss Milán</t>
  </si>
  <si>
    <t>Tatár Tivadar</t>
  </si>
  <si>
    <t>Terner Hédi Szonja</t>
  </si>
  <si>
    <t>Tiszai Péter Sámuel</t>
  </si>
  <si>
    <t>Tomasovszky Simon</t>
  </si>
  <si>
    <t>Tompa Bianka Gréta</t>
  </si>
  <si>
    <t>Tóth Attila Bonifác</t>
  </si>
  <si>
    <t>Tóth Mici</t>
  </si>
  <si>
    <t>Tóth Rita Noémi</t>
  </si>
  <si>
    <t>Tölgyesi Bíborka</t>
  </si>
  <si>
    <t>Török Blanka Nóra</t>
  </si>
  <si>
    <t>Török Emma Róza</t>
  </si>
  <si>
    <t>Török Márton</t>
  </si>
  <si>
    <t>Tudlik Domán Bendegúz</t>
  </si>
  <si>
    <t>Tuli Balázs Péter</t>
  </si>
  <si>
    <t>Turi Dorottya</t>
  </si>
  <si>
    <t>Vajda Sára</t>
  </si>
  <si>
    <t>Valkó Júlia</t>
  </si>
  <si>
    <t>Valkovszki Barnabás</t>
  </si>
  <si>
    <t>Vámos Dávid</t>
  </si>
  <si>
    <t>Vancsó Gergely Imre</t>
  </si>
  <si>
    <t>Váradi Zalán Vince</t>
  </si>
  <si>
    <t>Varga Dániel Dominik</t>
  </si>
  <si>
    <t>Varga Márton</t>
  </si>
  <si>
    <t>Varga Míra Eliza</t>
  </si>
  <si>
    <t>Varga-Andersen Tristan</t>
  </si>
  <si>
    <t>Vass Gergő</t>
  </si>
  <si>
    <t>Vatai Máté Kelemen</t>
  </si>
  <si>
    <t>Véghelyi Márton</t>
  </si>
  <si>
    <t>Veress Áron Tamás</t>
  </si>
  <si>
    <t>Vermes Zorka</t>
  </si>
  <si>
    <t>Vida Bianka</t>
  </si>
  <si>
    <t>Vida Kinga</t>
  </si>
  <si>
    <t>Vincze Patrik</t>
  </si>
  <si>
    <t>Virágh Júlia Anna</t>
  </si>
  <si>
    <t>WANG KING ZIQING</t>
  </si>
  <si>
    <t>Wei Zichen</t>
  </si>
  <si>
    <t>Wieland Panni Zoé</t>
  </si>
  <si>
    <t>YANG GENYUAN</t>
  </si>
  <si>
    <t>Yang xin tong</t>
  </si>
  <si>
    <t>Yu Xun</t>
  </si>
  <si>
    <t>Zahari Merse</t>
  </si>
  <si>
    <t>Zempléni Laura</t>
  </si>
  <si>
    <t>Zhang Han</t>
  </si>
  <si>
    <t>Zuber Benedek</t>
  </si>
  <si>
    <t>Zseli Áron</t>
  </si>
  <si>
    <t>nev</t>
  </si>
  <si>
    <t>tagozat</t>
  </si>
  <si>
    <t>visszalepett</t>
  </si>
  <si>
    <t>Összeg</t>
  </si>
  <si>
    <t>seged</t>
  </si>
  <si>
    <t>ok</t>
  </si>
  <si>
    <t>a_nev</t>
  </si>
  <si>
    <t>email</t>
  </si>
  <si>
    <t>sz_h</t>
  </si>
  <si>
    <t>szul_i</t>
  </si>
  <si>
    <t>osszpont</t>
  </si>
  <si>
    <t>ny_1</t>
  </si>
  <si>
    <t>ny_2</t>
  </si>
  <si>
    <t>ny_osszefuz</t>
  </si>
  <si>
    <t>targy</t>
  </si>
  <si>
    <t>szoveg</t>
  </si>
  <si>
    <t>indok</t>
  </si>
  <si>
    <t>hatarozat</t>
  </si>
  <si>
    <t>felvi_2</t>
  </si>
  <si>
    <t>isk_nev</t>
  </si>
  <si>
    <t>isk_mail</t>
  </si>
  <si>
    <t>darab</t>
  </si>
  <si>
    <t>ny_1_nagy</t>
  </si>
  <si>
    <t>d_evossz</t>
  </si>
  <si>
    <t>d_ev</t>
  </si>
  <si>
    <t>d_ho</t>
  </si>
  <si>
    <t>d_nap</t>
  </si>
  <si>
    <t>d_varos</t>
  </si>
  <si>
    <t>2025. június 26.</t>
  </si>
  <si>
    <t>szamitott_rang</t>
  </si>
  <si>
    <t>I. ker lakos</t>
  </si>
  <si>
    <t>Testvér</t>
  </si>
  <si>
    <t>Mindkettő</t>
  </si>
  <si>
    <t>Husnjak Marin</t>
  </si>
  <si>
    <t>Szabó Anna Violetta</t>
  </si>
  <si>
    <t>Összes</t>
  </si>
  <si>
    <t>sorszam</t>
  </si>
  <si>
    <t>bekerulhet</t>
  </si>
  <si>
    <t>IGEN</t>
  </si>
  <si>
    <t>kuszob_iras</t>
  </si>
  <si>
    <t>kuszob_bizi</t>
  </si>
  <si>
    <t>kuszob_szobeli</t>
  </si>
  <si>
    <t>hiany_iras</t>
  </si>
  <si>
    <t>hiany_bizi</t>
  </si>
  <si>
    <t>hiany_szobeli</t>
  </si>
  <si>
    <t>hiany_min</t>
  </si>
  <si>
    <t>Budapest XI. kerület</t>
  </si>
  <si>
    <t>Budapest VIII. kerület</t>
  </si>
  <si>
    <t>Budapest IX. kerület</t>
  </si>
  <si>
    <t>Budapest XX. kerület</t>
  </si>
  <si>
    <t>Budapest XII. kerület</t>
  </si>
  <si>
    <t>Budapest VI. kerület</t>
  </si>
  <si>
    <t>Budapest III. kerület</t>
  </si>
  <si>
    <t>Budapest X. kerület</t>
  </si>
  <si>
    <t>Budapest XIV. kerület</t>
  </si>
  <si>
    <t>Budapest XIII. kerület</t>
  </si>
  <si>
    <t>Simon Ágnes</t>
  </si>
  <si>
    <t>201234</t>
  </si>
  <si>
    <t>035026</t>
  </si>
  <si>
    <t>034993</t>
  </si>
  <si>
    <t>035001</t>
  </si>
  <si>
    <t>034986</t>
  </si>
  <si>
    <t>034798</t>
  </si>
  <si>
    <t>034983</t>
  </si>
  <si>
    <t>037740</t>
  </si>
  <si>
    <t>203474</t>
  </si>
  <si>
    <t>203410</t>
  </si>
  <si>
    <t>034792</t>
  </si>
  <si>
    <t>035288</t>
  </si>
  <si>
    <t>034895</t>
  </si>
  <si>
    <t>035028</t>
  </si>
  <si>
    <t>035348</t>
  </si>
  <si>
    <t>034789</t>
  </si>
  <si>
    <t>100566</t>
  </si>
  <si>
    <t>035327</t>
  </si>
  <si>
    <t>magyar nyelv és irodalom</t>
  </si>
  <si>
    <t>matematika</t>
  </si>
  <si>
    <t>angol nyelv</t>
  </si>
  <si>
    <t>környezetismeret</t>
  </si>
  <si>
    <t>ének-zene</t>
  </si>
  <si>
    <t>testnevelés</t>
  </si>
  <si>
    <t>vizuális kultúra</t>
  </si>
  <si>
    <t>etika/hit- és erkölcstan</t>
  </si>
  <si>
    <t>technika és tervezés</t>
  </si>
  <si>
    <t>néptánc</t>
  </si>
  <si>
    <t>irodalom</t>
  </si>
  <si>
    <t>digitális kultúra</t>
  </si>
  <si>
    <t>magyar nyelv</t>
  </si>
  <si>
    <t>hittan</t>
  </si>
  <si>
    <t>történelem</t>
  </si>
  <si>
    <t>etika</t>
  </si>
  <si>
    <t>katolikus hittan</t>
  </si>
  <si>
    <t>német nemzetiségi nyelv</t>
  </si>
  <si>
    <t>rajz, festés</t>
  </si>
  <si>
    <t>evangélikus hittan</t>
  </si>
  <si>
    <t>református hittan</t>
  </si>
  <si>
    <t>dráma és színház</t>
  </si>
  <si>
    <t>tánc és mozgás</t>
  </si>
  <si>
    <t>német nyelv</t>
  </si>
  <si>
    <t>önismeret-drámajáték</t>
  </si>
  <si>
    <t>német nyelv és irodalom</t>
  </si>
  <si>
    <t>német nemzetiségi nyelv és irodalom</t>
  </si>
  <si>
    <t>dirty</t>
  </si>
  <si>
    <t>aktiv</t>
  </si>
  <si>
    <t>Ajtai Léna Laura</t>
  </si>
  <si>
    <t>Aranyosi Noémi</t>
  </si>
  <si>
    <t>aranyosi.noemi@gmail.com</t>
  </si>
  <si>
    <t>1124 Budapest XII. kerület, Kiss János altb. utca 55-59 C ép.1 lph.3 em.19 a.</t>
  </si>
  <si>
    <t>Árok Emma</t>
  </si>
  <si>
    <t>Leibing Adrienn</t>
  </si>
  <si>
    <t>adrienn.leibing@gmail.com</t>
  </si>
  <si>
    <t>2051 Biatorbágy, Juhász Gyula út 49. Fsz.1.a.</t>
  </si>
  <si>
    <t>B Nagy Mirjam Róza</t>
  </si>
  <si>
    <t>Csehi Katalin</t>
  </si>
  <si>
    <t>csehikata@gmail.com</t>
  </si>
  <si>
    <t>1025 Budapest II. kerület, Cseppkő utca 60-66. B ép. B lpcs. 1/4.</t>
  </si>
  <si>
    <t>Dr Csehi Katalin</t>
  </si>
  <si>
    <t>Pitypang Utcai Általános Iskola</t>
  </si>
  <si>
    <t>Bacskai Hanna</t>
  </si>
  <si>
    <t>Bendik Adrienn</t>
  </si>
  <si>
    <t>bacskaiada@gmail.com</t>
  </si>
  <si>
    <t xml:space="preserve">1111 Budapest XI. kerület, Irinyi József utca 31. </t>
  </si>
  <si>
    <t>Bacskai Adrienn</t>
  </si>
  <si>
    <t xml:space="preserve">1021 Budapest II. kerület, Szép Juhászné út 14-18. </t>
  </si>
  <si>
    <t>Balázs Bodza Zsóka</t>
  </si>
  <si>
    <t>Horváth Emese Ágnes</t>
  </si>
  <si>
    <t>horeme@gmail.com</t>
  </si>
  <si>
    <t xml:space="preserve">1113 Budapest XI. kerület, Ulászló utca 39-41. </t>
  </si>
  <si>
    <t>Horváth Emese</t>
  </si>
  <si>
    <t>Balázs Léna</t>
  </si>
  <si>
    <t>Takács Krisztina</t>
  </si>
  <si>
    <t>takacs_kriszta@me.com</t>
  </si>
  <si>
    <t>1108 Budapest X. kerület, Újhegyi út 8 2/2</t>
  </si>
  <si>
    <t>Balázs-Domokos Emma</t>
  </si>
  <si>
    <t>Domokos Katalin</t>
  </si>
  <si>
    <t>balint.bab@gmail.com</t>
  </si>
  <si>
    <t xml:space="preserve">1024 Budapest II. kerület, Rómer Flóris  utca 38 </t>
  </si>
  <si>
    <t>Bálint Júlia Anna</t>
  </si>
  <si>
    <t>Szegő Tímea Katalin</t>
  </si>
  <si>
    <t>balintzo@gmail.com</t>
  </si>
  <si>
    <t>1014 Budapest I. kerület, Országház utca 15 2a</t>
  </si>
  <si>
    <t>Bálint Zoltán</t>
  </si>
  <si>
    <t>Bálint Kinga Klára</t>
  </si>
  <si>
    <t>Menyhárt Nóra</t>
  </si>
  <si>
    <t>menyhart.nora@gmail.com</t>
  </si>
  <si>
    <t xml:space="preserve">1116 Budapest XI. kerület, Duránci utca 40 </t>
  </si>
  <si>
    <t>Bálint-Menyhárt Nóra</t>
  </si>
  <si>
    <t>Balkányi Csaba</t>
  </si>
  <si>
    <t>Balázsi Ildikó</t>
  </si>
  <si>
    <t>balazsiildi@gmail.com</t>
  </si>
  <si>
    <t>1122 Budapest, Városmajor utca 3/a 3. em. 2.</t>
  </si>
  <si>
    <t>Ballai Zalán</t>
  </si>
  <si>
    <t>Tüke Dóra</t>
  </si>
  <si>
    <t>doratuke@gmail.com</t>
  </si>
  <si>
    <t xml:space="preserve">2040 Budaörs, Fügefa  utca 40/A </t>
  </si>
  <si>
    <t>Balogh Bende Richárd</t>
  </si>
  <si>
    <t>Roczkó Zita Zsuzsanna</t>
  </si>
  <si>
    <t>balogh.zsolt1979@gmail.com</t>
  </si>
  <si>
    <t>1094 Budapest IX. kerület, Viola  utca 4 1. emelet 4. ajtó</t>
  </si>
  <si>
    <t>Balogh Zsolt</t>
  </si>
  <si>
    <t>Baranyi Léda Hanna</t>
  </si>
  <si>
    <t>Egresits Tímea</t>
  </si>
  <si>
    <t>egresitstimea@gmail.com</t>
  </si>
  <si>
    <t xml:space="preserve">2096 Üröm, Szamóca utca 5/B </t>
  </si>
  <si>
    <t>dr. Egresits Tímea</t>
  </si>
  <si>
    <t>Bardócz Csilla Száva</t>
  </si>
  <si>
    <t>Mátészalka</t>
  </si>
  <si>
    <t>Kocsis Erzsébet</t>
  </si>
  <si>
    <t>erzsebetkocsis@gmail.com</t>
  </si>
  <si>
    <t>4722 Nyírmeggyes, Budai Nagy Antal utca 2 a</t>
  </si>
  <si>
    <t>Bartos Lilla Márta</t>
  </si>
  <si>
    <t>Lex Viktória</t>
  </si>
  <si>
    <t>1039 Budapest III. kerület, Kabar utca 3 6.em.32.</t>
  </si>
  <si>
    <t>Budapest III. Kerületi Bárczi Géza Általános Iskola</t>
  </si>
  <si>
    <t>Bátori Ádám</t>
  </si>
  <si>
    <t>Dr. Kallós Korinna Katalin</t>
  </si>
  <si>
    <t>ugyved@batorikallos.hu</t>
  </si>
  <si>
    <t>1122 Budapest XII. kerület, Határőr út 16 A</t>
  </si>
  <si>
    <t>Dr. Kallós Korinna</t>
  </si>
  <si>
    <t>1013 Budapest I. kerület, Attila út 22. IV./21.</t>
  </si>
  <si>
    <t>Becze Ambrus</t>
  </si>
  <si>
    <t>Sebestyén Ildikó</t>
  </si>
  <si>
    <t>1022 Budapest II. kerület, Bimbó út 124 3.a.</t>
  </si>
  <si>
    <t>Becze-Sebestyén Ildikó</t>
  </si>
  <si>
    <t>HoustonJSC</t>
  </si>
  <si>
    <t>A szakértői véleményben foglaltak ellenére a szóbeli vizsgán  a gyermek részére nem kérünk semmilyen mentességet.</t>
  </si>
  <si>
    <t>Beke Boldizsár</t>
  </si>
  <si>
    <t>Tóth Szilvia</t>
  </si>
  <si>
    <t>sziszitoth@gmail.com</t>
  </si>
  <si>
    <t>1118 Budapest XI. kerület, Torbágy utca 12. 9/35.</t>
  </si>
  <si>
    <t>Beke-Tóth Szilvia</t>
  </si>
  <si>
    <t>Gazdagréti Sport Általános Iskola</t>
  </si>
  <si>
    <t>Bellák Maxim Alex</t>
  </si>
  <si>
    <t>Székesfehérvár</t>
  </si>
  <si>
    <t>Chantal Lefranc</t>
  </si>
  <si>
    <t>bellakb@yahoo.com</t>
  </si>
  <si>
    <t xml:space="preserve">1112 Budapest XI. kerület, Rózsabarack u 4/A utca 4/A </t>
  </si>
  <si>
    <t>Bellák Balázs</t>
  </si>
  <si>
    <t>Bencsik Janka</t>
  </si>
  <si>
    <t>Sebestyén Tünde Zsófia</t>
  </si>
  <si>
    <t>bencsikgergoe@gmail.com</t>
  </si>
  <si>
    <t>2040 Budaörs, Ibolya utca 55 a</t>
  </si>
  <si>
    <t>Bencsik Gergely</t>
  </si>
  <si>
    <t>Benedek Kiara Gréta</t>
  </si>
  <si>
    <t>Rátkai Anett</t>
  </si>
  <si>
    <t>anett.ratkai@gmail.com</t>
  </si>
  <si>
    <t xml:space="preserve">1112 Budapest XI. kerület, Hetény utca 14 </t>
  </si>
  <si>
    <t>Benedicty László Balázs</t>
  </si>
  <si>
    <t>Péter Krisztina Gizella</t>
  </si>
  <si>
    <t>gergely@benedicty.hu</t>
  </si>
  <si>
    <t xml:space="preserve">2089 Telki, Berkenye utca 21 </t>
  </si>
  <si>
    <t>Benedicty Gergely</t>
  </si>
  <si>
    <t>Bérczy Léna</t>
  </si>
  <si>
    <t>Lipák Ágnes</t>
  </si>
  <si>
    <t>berczyne@gmail.com</t>
  </si>
  <si>
    <t xml:space="preserve">1061 Budapest VI. kerület, Káldy Gyula utca 6 </t>
  </si>
  <si>
    <t>Bérczyné Lipák Ágnes</t>
  </si>
  <si>
    <t>Berecz Ábel</t>
  </si>
  <si>
    <t>Csomor Júlia</t>
  </si>
  <si>
    <t>csomor.juli@gmail.com</t>
  </si>
  <si>
    <t>1016 Budapest I. kerület, Tigris utca 45 B</t>
  </si>
  <si>
    <t>Berkeczi Rózsa</t>
  </si>
  <si>
    <t>Komlóssy Ildikó Katalin</t>
  </si>
  <si>
    <t>ikomlossy@yahoo.com</t>
  </si>
  <si>
    <t>1011 Budapest I. kerület, Mária tér 4 3/2</t>
  </si>
  <si>
    <t>Komlóssy Ildikó</t>
  </si>
  <si>
    <t>Bernáth Filip Máté</t>
  </si>
  <si>
    <t>Barcic Iva</t>
  </si>
  <si>
    <t>bernath.mihaly.pal@gmail.com</t>
  </si>
  <si>
    <t xml:space="preserve">2673 Csitár, Kossuth út 17. </t>
  </si>
  <si>
    <t>Bernáth Mihály Pál</t>
  </si>
  <si>
    <t>1114 Budapest XI. kerület, Bartók Béla út 41. 3. em. 3.</t>
  </si>
  <si>
    <t>Bihari Vencel</t>
  </si>
  <si>
    <t>Prókai Erna</t>
  </si>
  <si>
    <t>prokai.erna@gmail.com</t>
  </si>
  <si>
    <t xml:space="preserve">1132 Budapest XIII. kerület, Victor Hugo utca 2-4. </t>
  </si>
  <si>
    <t>dr. Prókai Erna</t>
  </si>
  <si>
    <t>NKE Budapest V. Kerületi Szemere Bertalan Általános Iskola</t>
  </si>
  <si>
    <t>Blága Péter</t>
  </si>
  <si>
    <t>Lovas Diána Ilona</t>
  </si>
  <si>
    <t>diana.lovas@gmail.com</t>
  </si>
  <si>
    <t>1117 Budapest XI. kerület, Bercsényi  utca 38 7. emelet 8. a.</t>
  </si>
  <si>
    <t>Blága Diána</t>
  </si>
  <si>
    <t>Bognár Rebeka Sára</t>
  </si>
  <si>
    <t>Istella Csilla</t>
  </si>
  <si>
    <t>1087 Budapest VIII. kerület, Százados út 51-65. D/B. Fszt. 1.</t>
  </si>
  <si>
    <t>Dr. Istella Csilla</t>
  </si>
  <si>
    <t>Boja Attila</t>
  </si>
  <si>
    <t>Fazekas Szilvia</t>
  </si>
  <si>
    <t>b2bence@freemail.hu</t>
  </si>
  <si>
    <t>2040 Budaörs, Naphegy utca 34/A B ép Fsz 1</t>
  </si>
  <si>
    <t>Boja Bence János</t>
  </si>
  <si>
    <t>Bojtár Anna</t>
  </si>
  <si>
    <t>Pelei Kriaztina</t>
  </si>
  <si>
    <t>gyulabojtar@gmail.com</t>
  </si>
  <si>
    <t>1025 Budapest II. kerület, Törökvész út 95-97 B</t>
  </si>
  <si>
    <t>Pelei Krisztina</t>
  </si>
  <si>
    <t>Borbély Abigél Mici</t>
  </si>
  <si>
    <t>Dr Gerván Patrícia</t>
  </si>
  <si>
    <t>b.a.borbely@gmail.com</t>
  </si>
  <si>
    <t xml:space="preserve">1112 Budapest XI. kerület, Süveg utca 15/A </t>
  </si>
  <si>
    <t>Borbély Bálint</t>
  </si>
  <si>
    <t xml:space="preserve">Böcskei András Marcell </t>
  </si>
  <si>
    <t xml:space="preserve">Dr. Leicht Erika Katalin </t>
  </si>
  <si>
    <t>dr.bocskeibela@gmail.com</t>
  </si>
  <si>
    <t xml:space="preserve">1033 Budapest III. kerület, Folyamőr  utca 9 1. em. 8. a. </t>
  </si>
  <si>
    <t xml:space="preserve">Dr. Böcskei Béla </t>
  </si>
  <si>
    <t xml:space="preserve">1037 Budapest III. kerület, Perényi  köz 11 1. em. 2. a. </t>
  </si>
  <si>
    <t>Bruschi Cherie Anais</t>
  </si>
  <si>
    <t>Prato</t>
  </si>
  <si>
    <t>Kováts Anett</t>
  </si>
  <si>
    <t>bellapummarola@gmail.com</t>
  </si>
  <si>
    <t>1164 Budapest, Vidámverseny utca 24 B</t>
  </si>
  <si>
    <t>Trifonova Anett</t>
  </si>
  <si>
    <t xml:space="preserve">1068 Budapest, Városligeti fasor 34-36 </t>
  </si>
  <si>
    <t>Buczi Gábor</t>
  </si>
  <si>
    <t>Kálmándi Erzsébet Anikó</t>
  </si>
  <si>
    <t>buczine.zsoka@gmail.com</t>
  </si>
  <si>
    <t>1125 Budapest XII. kerület, Galgóczy utca 1-3 D/4</t>
  </si>
  <si>
    <t>Buczi Miklósné</t>
  </si>
  <si>
    <t>Budai András</t>
  </si>
  <si>
    <t xml:space="preserve">dr. Balogh Edina </t>
  </si>
  <si>
    <t>balogh.edina1977@gmail.com</t>
  </si>
  <si>
    <t>1052 Budapest V. kerület, Vitkovics M.  utca 7 fszt. 1.</t>
  </si>
  <si>
    <t>Balogh Edina</t>
  </si>
  <si>
    <t xml:space="preserve">2365 Inárcs, Arany János  utca 39 </t>
  </si>
  <si>
    <t>Buza-Kiss Szófia</t>
  </si>
  <si>
    <t>Gulyás Zsófia</t>
  </si>
  <si>
    <t>gulyas.zsofi@gmail.com</t>
  </si>
  <si>
    <t xml:space="preserve">1125 Budapest XII. kerület, Adonisz utca 4. </t>
  </si>
  <si>
    <t>1121 Budapest XII. kerület, Rege út 7. B</t>
  </si>
  <si>
    <t>Cochior Laura Maya</t>
  </si>
  <si>
    <t>Duma Trunchi Veronica</t>
  </si>
  <si>
    <t>veraduma86@gmail.com</t>
  </si>
  <si>
    <t xml:space="preserve">1222 Budapest XXII. kerület, Pannónia  utca 64 </t>
  </si>
  <si>
    <t>Cochior Veronica</t>
  </si>
  <si>
    <t>Czettele  Mihály</t>
  </si>
  <si>
    <t>Budapest VII. kerület</t>
  </si>
  <si>
    <t>dr. Tamás Katalin</t>
  </si>
  <si>
    <t>dr.czettelekatalin@gmail.com</t>
  </si>
  <si>
    <t>1115 Budapest XI. kerület, Tétényi  utca 4 b</t>
  </si>
  <si>
    <t>dr. Czettele Katalin</t>
  </si>
  <si>
    <t>Csanádi Barnabás</t>
  </si>
  <si>
    <t>Bárány Gabriella</t>
  </si>
  <si>
    <t>baranyga@gmail.com</t>
  </si>
  <si>
    <t xml:space="preserve">1037 Budapest III. kerület, Körtvélyes utca 2 </t>
  </si>
  <si>
    <t>Március 5.-én és 6.-án a szóbelire eljutást nem tudjuk megoldani, ezért kérjük, hogy másik napra osszák be! Köszönöm!</t>
  </si>
  <si>
    <t>Csatai-Csapanszkij Konrád</t>
  </si>
  <si>
    <t>Csapanszkij Orsolya Melinda</t>
  </si>
  <si>
    <t>csapiorsi@csatai.hu</t>
  </si>
  <si>
    <t>1149 Budapest XIV. kerület, Nagy Lajos király útja 188. 4 em. 7 a.</t>
  </si>
  <si>
    <t>Csapanszkij Orsolya</t>
  </si>
  <si>
    <t xml:space="preserve">Cservölgyi Filemon </t>
  </si>
  <si>
    <t>Tüke Alíz</t>
  </si>
  <si>
    <t>tuke.aliz@gmail.com</t>
  </si>
  <si>
    <t xml:space="preserve">2040 Budaörs, Csap köz 4/A </t>
  </si>
  <si>
    <t>Csetényi Aporka</t>
  </si>
  <si>
    <t>Holop Enikő</t>
  </si>
  <si>
    <t>eniko.holop@gmail.com</t>
  </si>
  <si>
    <t xml:space="preserve">1012 Budapest I. kerület, Mikó utca 3 </t>
  </si>
  <si>
    <t>Csetényiné Holop Enikő</t>
  </si>
  <si>
    <t>Dági Zselyke</t>
  </si>
  <si>
    <t>Vándor Réka</t>
  </si>
  <si>
    <t>dagi.levente@gmail.com</t>
  </si>
  <si>
    <t xml:space="preserve">1161 Budapest XVI. kerület, Gusztáv utca 26/2 </t>
  </si>
  <si>
    <t>Dági Levente</t>
  </si>
  <si>
    <t>Budapest XVI. Kerületi Kölcsey Ferenc Általános Iskola</t>
  </si>
  <si>
    <t>Dárdai Gergely</t>
  </si>
  <si>
    <t>Gergely-Farnos Lilla</t>
  </si>
  <si>
    <t>gergelyfarnos.lilla@gmail.com</t>
  </si>
  <si>
    <t>1076 Budapest VII. kerület, Péterfy Sándor utca 40. IV./2.</t>
  </si>
  <si>
    <t>Deák Botond</t>
  </si>
  <si>
    <t>Zsori Adrienn</t>
  </si>
  <si>
    <t>adzsori@gmail.com</t>
  </si>
  <si>
    <t>1112 Budapest XI. kerület, Neszmélyi út 44 10/4</t>
  </si>
  <si>
    <t>Dékány Izabella</t>
  </si>
  <si>
    <t>Szepesi Anna</t>
  </si>
  <si>
    <t>dekany.adam@gmail.com</t>
  </si>
  <si>
    <t xml:space="preserve">1174 Budapest XVII. kerület, Damjanich utca 30. </t>
  </si>
  <si>
    <t>Dékány Ádám</t>
  </si>
  <si>
    <t>Budapest XVII. Kerületi Czimra Gyula Általános Iskola</t>
  </si>
  <si>
    <t>Dénes Zengő</t>
  </si>
  <si>
    <t>Dr. Járvás Krisztina</t>
  </si>
  <si>
    <t>denesviktor@gmail.com</t>
  </si>
  <si>
    <t>1118 Budapest XI. kerület, Pecz Samu utca 4 E. 3/16.</t>
  </si>
  <si>
    <t>Dénes Viktor</t>
  </si>
  <si>
    <t>Dolfini Mira Rose</t>
  </si>
  <si>
    <t>Melbourne</t>
  </si>
  <si>
    <t>Szàsz Rita</t>
  </si>
  <si>
    <t>msritaszasz@gmail.com</t>
  </si>
  <si>
    <t xml:space="preserve">1015 Budapest I. kerület, Toldy Ferenc utca 14 </t>
  </si>
  <si>
    <t>Színes Világ Magyar-Angol Két Tanítási Nyelvű Általános Iskola</t>
  </si>
  <si>
    <t>Dömötöri Anna Mirjána</t>
  </si>
  <si>
    <t>Radenkova Neli Rumenova</t>
  </si>
  <si>
    <t>ndomotori@gmail.com</t>
  </si>
  <si>
    <t xml:space="preserve">9400 Sopron, Lőver körút 96 </t>
  </si>
  <si>
    <t>Dömötöri-Radenkova Neli Rumenova</t>
  </si>
  <si>
    <t>1036 Budapest III. kerület, Pacsirtamező  utca 3-11a A lph., 5 em., 20 a.</t>
  </si>
  <si>
    <t>Dubéczi-Nagy Lotti</t>
  </si>
  <si>
    <t>Dubéczi Linda</t>
  </si>
  <si>
    <t>linda.dubeczi@gmail.com</t>
  </si>
  <si>
    <t xml:space="preserve">1028 Budapest II. kerület, Hidegkúti út 183. </t>
  </si>
  <si>
    <t>Elek Samu</t>
  </si>
  <si>
    <t>Andorkó Rita</t>
  </si>
  <si>
    <t>andorko.rita@gmail.com</t>
  </si>
  <si>
    <t>1117 Budapest XI. kerület, Galambóc utca 16 1. em. 7. a.</t>
  </si>
  <si>
    <t>Dr. Andorkó Rita</t>
  </si>
  <si>
    <t>Endrődi Dániel</t>
  </si>
  <si>
    <t>Strbová Dagmar</t>
  </si>
  <si>
    <t>endgab@gmail.com</t>
  </si>
  <si>
    <t xml:space="preserve">1133 Budapest XIII. kerület, Thurzó utca 5B </t>
  </si>
  <si>
    <t>Endrődi Gábor</t>
  </si>
  <si>
    <t>Enyedi Adél Emma</t>
  </si>
  <si>
    <t>Szűts Angéla</t>
  </si>
  <si>
    <t>enyecz@gmail.com</t>
  </si>
  <si>
    <t>1114 Budapest XI. kerület, Bocskai  út 34/B 6/1</t>
  </si>
  <si>
    <t>Dr. Enyedi Gábor Sándor</t>
  </si>
  <si>
    <t>Esztergályos Rozi</t>
  </si>
  <si>
    <t>Székely Anna</t>
  </si>
  <si>
    <t>ann.szekely@gmail.com</t>
  </si>
  <si>
    <t xml:space="preserve">1013 Budapest I. kerület, Attila út 13. </t>
  </si>
  <si>
    <t>Fábián Bence</t>
  </si>
  <si>
    <t>Kosztolányi Anita</t>
  </si>
  <si>
    <t>anita.kosztolanyi@gmail.com</t>
  </si>
  <si>
    <t>1095 Budapest IX. kerület, Gabona utca 4 Fsz 1</t>
  </si>
  <si>
    <t>Farkas András</t>
  </si>
  <si>
    <t>Kispál Zsófia</t>
  </si>
  <si>
    <t>1148 Budapest XIV. kerület, Adria sétány 6/J 2.em.3.</t>
  </si>
  <si>
    <t>Dr. Kispál Zsófia</t>
  </si>
  <si>
    <t>Farkas Gergely</t>
  </si>
  <si>
    <t xml:space="preserve">Farkas Lola Magdolna </t>
  </si>
  <si>
    <t xml:space="preserve">Pénzes Petra </t>
  </si>
  <si>
    <t>penzespetra@freemail.hu</t>
  </si>
  <si>
    <t>1071 Budapest VII. kerület, Dózsa György  út 68 5/1</t>
  </si>
  <si>
    <t>Fogarasi Viktória</t>
  </si>
  <si>
    <t>Ildikó Pál</t>
  </si>
  <si>
    <t>ildiko.pal01@gmail.com</t>
  </si>
  <si>
    <t>1119 Budapest XI. kerület, Petzvál József utca 41-43. 4/406.</t>
  </si>
  <si>
    <t>Pál Ildikó</t>
  </si>
  <si>
    <t>1117 Budapest XI. kerület, Prielle Kornélia utca 19/g 1/11</t>
  </si>
  <si>
    <t>Földesi Marcell</t>
  </si>
  <si>
    <t>TÓTH ANITA</t>
  </si>
  <si>
    <t>1074 Budapest VII. kerület, DOHÁNY utca 73-75. I/21.</t>
  </si>
  <si>
    <t>Földi Ádám</t>
  </si>
  <si>
    <t>Kecsmár Zita</t>
  </si>
  <si>
    <t>foldi.laszlo@gmail.com</t>
  </si>
  <si>
    <t>1222 Budapest XXII. kerület, Nagytétényi út 90 Fsz/1</t>
  </si>
  <si>
    <t>Földi László</t>
  </si>
  <si>
    <t xml:space="preserve">1222 Budapest XXII. kerület, Só utca utca 10 </t>
  </si>
  <si>
    <t>Földi Júlia</t>
  </si>
  <si>
    <t>Dr Papp ÉVa</t>
  </si>
  <si>
    <t>emfoldi@gmail.com</t>
  </si>
  <si>
    <t>1126 Budapest XII. kerület, Kiss János altábornagy  utca 7-9 2. em 2</t>
  </si>
  <si>
    <t>Földi Miklós Dániel</t>
  </si>
  <si>
    <t>Frey Judit</t>
  </si>
  <si>
    <t>freyud@gmail.com</t>
  </si>
  <si>
    <t>1026 Budapest II. kerület, Jégverem utca 6 2/8</t>
  </si>
  <si>
    <t>Frey Kolos</t>
  </si>
  <si>
    <t>Gál Hanna</t>
  </si>
  <si>
    <t>Vaskó Viktória</t>
  </si>
  <si>
    <t>vasko.viktoria.mail@gmail.com</t>
  </si>
  <si>
    <t>1011 Budapest I. kerület, Szilágyi Dezső tér 3. IV. em. 31. ajtó</t>
  </si>
  <si>
    <t>1012 Budapest I. kerület, Attila út 113. I. em. 8. ajtó</t>
  </si>
  <si>
    <t>Gál Nándor</t>
  </si>
  <si>
    <t>Juhász Gabriella Mariann</t>
  </si>
  <si>
    <t>gjuhasz77@gmail.com</t>
  </si>
  <si>
    <t xml:space="preserve">1113 Budapest XI. kerület, Zsombolyai utca 12 </t>
  </si>
  <si>
    <t>Juhász Gabriella</t>
  </si>
  <si>
    <t>Galaczi Nóra</t>
  </si>
  <si>
    <t>Szalai Eszter Ágnes</t>
  </si>
  <si>
    <t>szalai.eszter85@gmail.com</t>
  </si>
  <si>
    <t>1125 Budapest XII. kerület, Városkúti  út 12 B</t>
  </si>
  <si>
    <t>Dr. Szalai Eszter Ágnes</t>
  </si>
  <si>
    <t>Gattoni Marcello</t>
  </si>
  <si>
    <t>Dr. Dudás Dalma</t>
  </si>
  <si>
    <t>dalma.gattoni@gmail.com</t>
  </si>
  <si>
    <t>1111 Budapest, Irinyi József  utca 31 5/1</t>
  </si>
  <si>
    <t>Dr. Dalma Dudas</t>
  </si>
  <si>
    <t>Gombocz Bercel</t>
  </si>
  <si>
    <t>Szabó Anita</t>
  </si>
  <si>
    <t>anitaszabo01@gmail.com</t>
  </si>
  <si>
    <t xml:space="preserve">1122 Budapest XII. kerület, Alma utca 7 </t>
  </si>
  <si>
    <t>Gombocz-Szabó Anita</t>
  </si>
  <si>
    <t>Gurbán Benedek</t>
  </si>
  <si>
    <t>Barca Boglárka</t>
  </si>
  <si>
    <t>barcaboglarka@gmail.com</t>
  </si>
  <si>
    <t xml:space="preserve">1118 Budapest XI. kerület, Frankhegy utca 4. 10/38. </t>
  </si>
  <si>
    <t>Gyarmati Máté István</t>
  </si>
  <si>
    <t>Varga Zsófia</t>
  </si>
  <si>
    <t>vzsofika5@gmail.com</t>
  </si>
  <si>
    <t xml:space="preserve">1112 Budapest XI. kerület, Háromszék  utca 37 </t>
  </si>
  <si>
    <t>Hajdu-Gregor Barnabás</t>
  </si>
  <si>
    <t>Gregor Rita</t>
  </si>
  <si>
    <t>2092 Budakeszi, Ifjúság útja 4 2/9</t>
  </si>
  <si>
    <t>Hámori Bori</t>
  </si>
  <si>
    <t xml:space="preserve">Benke Judit </t>
  </si>
  <si>
    <t>hamori.zoltan@gmail.com</t>
  </si>
  <si>
    <t>1107 Budapest X. kerület, Bihari  utca 5/C 7 em 23 aj</t>
  </si>
  <si>
    <t xml:space="preserve">Hámori Zoltán </t>
  </si>
  <si>
    <t>Hamrák Anna</t>
  </si>
  <si>
    <t>Varga Boglárka</t>
  </si>
  <si>
    <t>boglarca.varga@gmail.com</t>
  </si>
  <si>
    <t xml:space="preserve">2039 Pusztazámor, Naphegy utca 18 </t>
  </si>
  <si>
    <t>Boglárka Hamrák-Varga</t>
  </si>
  <si>
    <t>Hanczár Ilka Erzsébet</t>
  </si>
  <si>
    <t>Kesselyák Enikő Margit</t>
  </si>
  <si>
    <t>eniko@hanczar.hu</t>
  </si>
  <si>
    <t xml:space="preserve">1222 Budapest XXII. kerület, Promontor utca 21 </t>
  </si>
  <si>
    <t>Hanczár Enikő Margit</t>
  </si>
  <si>
    <t>Hauck Eliza</t>
  </si>
  <si>
    <t>Vértesy Eszter</t>
  </si>
  <si>
    <t>eszter.vertesy@gmail.com</t>
  </si>
  <si>
    <t xml:space="preserve">1027 Budapest II. kerület, Fő utca 79 </t>
  </si>
  <si>
    <t>Hauser Lili</t>
  </si>
  <si>
    <t>Klimkó Krisztina</t>
  </si>
  <si>
    <t>hauser.krisztina@gmail.com</t>
  </si>
  <si>
    <t xml:space="preserve">2040 Budaörs, Nyár utca 18 </t>
  </si>
  <si>
    <t>Héder Félix</t>
  </si>
  <si>
    <t>Schrenk Laura Lujza</t>
  </si>
  <si>
    <t>kempir2@gmail.com</t>
  </si>
  <si>
    <t>1138 Budapest XIII. kerület, Jakab József utca 15 1. em. 3.</t>
  </si>
  <si>
    <t>Héder Zoltán</t>
  </si>
  <si>
    <t>Hegedüs Ábel</t>
  </si>
  <si>
    <t>Vida Virág</t>
  </si>
  <si>
    <t>vida.virag@gmail.com</t>
  </si>
  <si>
    <t xml:space="preserve">1037 Budapest, Bécsi út 433. </t>
  </si>
  <si>
    <t xml:space="preserve">Hegedüs Gergő </t>
  </si>
  <si>
    <t xml:space="preserve">Fribiczer Dóra </t>
  </si>
  <si>
    <t>fribiczerdora@gmail.com</t>
  </si>
  <si>
    <t xml:space="preserve">1025 Budapest II. kerület, Sarolta utca 12 </t>
  </si>
  <si>
    <t>Hegedüs-Nagy Adrienn</t>
  </si>
  <si>
    <t>Tóth Anita Éva</t>
  </si>
  <si>
    <t>anita.toth985@gmail.com</t>
  </si>
  <si>
    <t xml:space="preserve">1033 Budapest III. kerület, Tavasz utca 2 </t>
  </si>
  <si>
    <t xml:space="preserve">Heitmann Ádám József </t>
  </si>
  <si>
    <t>Szerdahelyi Katalin</t>
  </si>
  <si>
    <t>katalin.szerdahelyi@yahoo.com</t>
  </si>
  <si>
    <t xml:space="preserve">1016 Budapest I. kerület, Naphegy utca 9 </t>
  </si>
  <si>
    <t>Heitmann Martin Johann</t>
  </si>
  <si>
    <t xml:space="preserve">Szerdahelyi Katalin </t>
  </si>
  <si>
    <t>Héjja Boldizsár</t>
  </si>
  <si>
    <t>Török Orsolya</t>
  </si>
  <si>
    <t>torok.orsolya@prizma.hu</t>
  </si>
  <si>
    <t xml:space="preserve">1147 Budapest XIV. kerület, Zsolnay Vilmos utca 14 </t>
  </si>
  <si>
    <t>Homan David</t>
  </si>
  <si>
    <t>Amstelveen</t>
  </si>
  <si>
    <t>Somogyi Eszter</t>
  </si>
  <si>
    <t>eszter_somogyi@hotmail.com</t>
  </si>
  <si>
    <t xml:space="preserve">1222 Budapest XXII. kerület, Liszt Ferenc  út 69 </t>
  </si>
  <si>
    <t>Homan Somogyi Eszter</t>
  </si>
  <si>
    <t>Horváth Leó</t>
  </si>
  <si>
    <t>Ibolya Dalma</t>
  </si>
  <si>
    <t>sztan.horvath@gmail.com</t>
  </si>
  <si>
    <t>1112 Budapest XI. kerület, Gazdagréti  út 4. Tt. 5. a.</t>
  </si>
  <si>
    <t>Horváth Máté Huba</t>
  </si>
  <si>
    <t>Pernyész Erika</t>
  </si>
  <si>
    <t>kitti.solti@gmail.com</t>
  </si>
  <si>
    <t xml:space="preserve">1029 Budapest II. kerület, Máriaremetei út 128 </t>
  </si>
  <si>
    <t>Solti Kitti</t>
  </si>
  <si>
    <t xml:space="preserve">Hubai Mátyás Krisztián </t>
  </si>
  <si>
    <t xml:space="preserve">Tóth Eszter Júlia </t>
  </si>
  <si>
    <t>ridanmar@gmail.com</t>
  </si>
  <si>
    <t xml:space="preserve">1095 Budapest IX. kerület, Mester  utca 3 </t>
  </si>
  <si>
    <t xml:space="preserve">Hubainé Tóth Eszter </t>
  </si>
  <si>
    <t>Hudoba Zselyke Boglárka</t>
  </si>
  <si>
    <t>Kerepeszki Mónika</t>
  </si>
  <si>
    <t>m.kerepeszki@gmail.com</t>
  </si>
  <si>
    <t xml:space="preserve">2096 Üröm, Tücsök utca 44b </t>
  </si>
  <si>
    <t>Mangó</t>
  </si>
  <si>
    <t>ILLÉS ESZTER</t>
  </si>
  <si>
    <t>Orlovits Zsanett</t>
  </si>
  <si>
    <t>zsanett.orlovits@gmail.com</t>
  </si>
  <si>
    <t xml:space="preserve">1118 Budapest XI. kerület, Povl Bang-Jensen utca 2/C </t>
  </si>
  <si>
    <t>Dr. Orlovits Zsanett</t>
  </si>
  <si>
    <t xml:space="preserve">Ha lehetséges, akkor a szóbeli vizsga időpontját 2026. március 10-ére vagy 17-ére szeretnénk kérni. </t>
  </si>
  <si>
    <t>Isépy Barnabás</t>
  </si>
  <si>
    <t>Molnár Adrienn</t>
  </si>
  <si>
    <t>aisepy@gmail.com</t>
  </si>
  <si>
    <t>1113 Budapest XI. kerület, Ulászló utca 39-41 1.lph. 2.em. 1.</t>
  </si>
  <si>
    <t>Isépy András</t>
  </si>
  <si>
    <t xml:space="preserve">Jáger Bálint </t>
  </si>
  <si>
    <t>Bruxelles-Etterbeek</t>
  </si>
  <si>
    <t>Lőrincz Orsolya</t>
  </si>
  <si>
    <t>balint.jager.jr@gmail.com</t>
  </si>
  <si>
    <t>1026 Budapest II. kerület, Garas utca 1. II. em 10.</t>
  </si>
  <si>
    <t>Juhász Natasa Katrina</t>
  </si>
  <si>
    <t>Moszunova Olga</t>
  </si>
  <si>
    <t>moszunova.olga@gmail.com</t>
  </si>
  <si>
    <t xml:space="preserve">2092 Budakeszi, Reviczky  utca 26 </t>
  </si>
  <si>
    <t>Juhászné Moszunova Olga</t>
  </si>
  <si>
    <t>Kalaus Vilmos Leó</t>
  </si>
  <si>
    <t>Veréb Krisztina</t>
  </si>
  <si>
    <t>valter.kalaus@vlk.hu</t>
  </si>
  <si>
    <t xml:space="preserve">1122 Budapest XII. kerület, Gaál József  utca 44 </t>
  </si>
  <si>
    <t>Kalaus Valter</t>
  </si>
  <si>
    <t>Kati Júlia</t>
  </si>
  <si>
    <t>Kelemen Mónika</t>
  </si>
  <si>
    <t>daniel.kati@outlook.com</t>
  </si>
  <si>
    <t>1135 Budapest XIII. kerület, Mohács utca 10 2/5</t>
  </si>
  <si>
    <t>Kati Dániel</t>
  </si>
  <si>
    <t>Kecskés Dániel</t>
  </si>
  <si>
    <t>Szabó Renáta</t>
  </si>
  <si>
    <t>fecsek1@yahoo.com</t>
  </si>
  <si>
    <t xml:space="preserve">2089 Telki, Nyúl utca 18 </t>
  </si>
  <si>
    <t>Kecskés Gábor</t>
  </si>
  <si>
    <t>Ritsmann Pál Német Nemzetiségi Általános Iskola és Gimnázium</t>
  </si>
  <si>
    <t>Kerkai Iván Tamás</t>
  </si>
  <si>
    <t>Cegléd</t>
  </si>
  <si>
    <t>Borbély Mariann Erika</t>
  </si>
  <si>
    <t>borbelymariannerika@gmail.com</t>
  </si>
  <si>
    <t>2750 Nagykőrös, Október 23. tér 4/a 3. emelet 71. ajtó</t>
  </si>
  <si>
    <t>Keserű Tamara Alexandra</t>
  </si>
  <si>
    <t>Nyerges Zsuzsanna</t>
  </si>
  <si>
    <t>suzy.bitter@gmail.com</t>
  </si>
  <si>
    <t xml:space="preserve">1025 Budapest II. kerület, Mandula  utca 31 </t>
  </si>
  <si>
    <t>Keserű Zsuzsanna</t>
  </si>
  <si>
    <t>Keszei Soma</t>
  </si>
  <si>
    <t>agnesim76@yahoo.com</t>
  </si>
  <si>
    <t>1112 Budapest XI. kerület, Hérics utca 5. 2/4.</t>
  </si>
  <si>
    <t>Keszei-Simon Ágnes</t>
  </si>
  <si>
    <t>Kézsmárki Málna Zsófia</t>
  </si>
  <si>
    <t>Kézsmárki Ágnes</t>
  </si>
  <si>
    <t>kezsmarkia@gmail.com</t>
  </si>
  <si>
    <t>1125 Budapest XII. kerület, Mátyás király út 36 A 1. lépcsőház 1/4.</t>
  </si>
  <si>
    <t>TF Gyakorló Sportiskolai Általános Iskola és Gimnázium</t>
  </si>
  <si>
    <t>Király Ádám</t>
  </si>
  <si>
    <t>Magyar Renáta</t>
  </si>
  <si>
    <t>magyar.renata.hunland@gmail.com</t>
  </si>
  <si>
    <t>1113 Budapest XI. kerület, Villányi út 38 1. em. 2. a.</t>
  </si>
  <si>
    <t>dr. Magyar Renáta</t>
  </si>
  <si>
    <t>Kiss Lien Linda</t>
  </si>
  <si>
    <t>Le Thanh Huong</t>
  </si>
  <si>
    <t>huong24@gmail.com</t>
  </si>
  <si>
    <t xml:space="preserve">1141 Budapest XIV. kerület, Csernyus utca 13B </t>
  </si>
  <si>
    <t>Kiss Péter István</t>
  </si>
  <si>
    <t>Kiss Krisztina</t>
  </si>
  <si>
    <t>kiss.krisztina0206@gmail.com</t>
  </si>
  <si>
    <t>1118 Budapest XI. kerület, Pálinkás Antal utca 3 A. épület Fsz. 3.</t>
  </si>
  <si>
    <t>Kiss Zsófia Borka</t>
  </si>
  <si>
    <t>Nagy Katalin</t>
  </si>
  <si>
    <t>nagykatya@gmail.com</t>
  </si>
  <si>
    <t xml:space="preserve">1158 Budapest XV. kerület, Bezsilla Nándor  utca 77 </t>
  </si>
  <si>
    <t>Zsófi március 11-15-ig nem tartózkodik az országban, amennyiben mód van rá, kérjük szépen ennek figyelembevételét! köszönjük szépen!</t>
  </si>
  <si>
    <t>Kiss-György Csongor Buda</t>
  </si>
  <si>
    <t>Bakos Mónika</t>
  </si>
  <si>
    <t>monika.bakos8@gmail.com</t>
  </si>
  <si>
    <t>1025 Budapest II. kerület, Kavics utca 13-15 A ép. fsz/1.</t>
  </si>
  <si>
    <t>Kisteleki Mór</t>
  </si>
  <si>
    <t>dr. Zsugovits Eszter</t>
  </si>
  <si>
    <t>zsugovitseszter@gmail.com</t>
  </si>
  <si>
    <t>1054 Budapest V. kerület, Zoltán utca 8 5/1</t>
  </si>
  <si>
    <t>Kokas Botond Balázs</t>
  </si>
  <si>
    <t>Zsiros Orsolya</t>
  </si>
  <si>
    <t>zsirosorsolya@yahoo.com</t>
  </si>
  <si>
    <t xml:space="preserve">2120 Dunakeszi, Zrínyi utca 4 </t>
  </si>
  <si>
    <t>Dr. Kokas Orsolya</t>
  </si>
  <si>
    <t>Dunakeszi Széchenyi István Általános Iskola</t>
  </si>
  <si>
    <t>Komjáthy Lóránt</t>
  </si>
  <si>
    <t>Szali Timea Éva</t>
  </si>
  <si>
    <t>komjathymiklos@copyrama.hu</t>
  </si>
  <si>
    <t>1012 Budapest I. kerület, Logodi  utca 48 A. lph. 2/4.</t>
  </si>
  <si>
    <t>Komjáthy Miklós</t>
  </si>
  <si>
    <t>Koncz Johanna</t>
  </si>
  <si>
    <t>dr. Sielberberg Anikó</t>
  </si>
  <si>
    <t>sielberberg.a@gmail.com</t>
  </si>
  <si>
    <t>1126 Budapest XII. kerület, Hollósy Simon utca 23. 1. em. 2. a.</t>
  </si>
  <si>
    <t>Kóródi Ádám Zalán</t>
  </si>
  <si>
    <t>Lajkó Kornélia</t>
  </si>
  <si>
    <t>kornelia.lajko@gmail.com</t>
  </si>
  <si>
    <t>1112 Budapest XI. kerület, Bodajk utca 30/A 1.a</t>
  </si>
  <si>
    <t>Koscsó Zsuzsa</t>
  </si>
  <si>
    <t>Sándor Zsuzsa</t>
  </si>
  <si>
    <t xml:space="preserve">1034 Budapest III. kerület, Szomolnok  utca 13 </t>
  </si>
  <si>
    <t xml:space="preserve">1124 Budapest XII. kerület, Sion  lépcső 7 </t>
  </si>
  <si>
    <t>Kósi Marcell</t>
  </si>
  <si>
    <t>Kárpáti Csilla Gabriella</t>
  </si>
  <si>
    <t>kosi.balazs@ezomer.hu</t>
  </si>
  <si>
    <t xml:space="preserve">1114 Budapest XI. kerület, Bartók Béla út 7 </t>
  </si>
  <si>
    <t>Kósi Balázs</t>
  </si>
  <si>
    <t>Kovács Botond</t>
  </si>
  <si>
    <t>Rauscher Anita Éva</t>
  </si>
  <si>
    <t>rausch.nita@gmail.com</t>
  </si>
  <si>
    <t xml:space="preserve">2030 Érd, Mázoló utca 9 </t>
  </si>
  <si>
    <t>Páncél-Rauscher Anita</t>
  </si>
  <si>
    <t>Kovács Marcell</t>
  </si>
  <si>
    <t>Lévai Szilvia</t>
  </si>
  <si>
    <t>szlevai@gmail.com</t>
  </si>
  <si>
    <t>1111 Budapest XI. kerület, Kende utca 6 fszt. 4.</t>
  </si>
  <si>
    <t>Kovács Móric</t>
  </si>
  <si>
    <t>Péterfi Anna</t>
  </si>
  <si>
    <t>peterfi@gmail.com</t>
  </si>
  <si>
    <t>1022 Budapest II. kerület, Lorántffy Zsuzsanna út 1 I. em. 2.</t>
  </si>
  <si>
    <t>Kovács-Almási Benedek</t>
  </si>
  <si>
    <t>Almási Zsófia</t>
  </si>
  <si>
    <t>2330 Dunaharaszti, Petőfi Sándor utca 86 2a</t>
  </si>
  <si>
    <t>KOVÁCS BALÁZS</t>
  </si>
  <si>
    <t>Kovács-Fiskus Milán</t>
  </si>
  <si>
    <t>Tóth Edit</t>
  </si>
  <si>
    <t>toth.edit76@gmail.com</t>
  </si>
  <si>
    <t xml:space="preserve">1112 Budapest XI. kerület, Molnárfecske utca 1527/14 </t>
  </si>
  <si>
    <t>Barcelona2016</t>
  </si>
  <si>
    <t>Kozma Ajnácska Liliom</t>
  </si>
  <si>
    <t>Nagykovácsi</t>
  </si>
  <si>
    <t>Kurkó Hajnal Aranka</t>
  </si>
  <si>
    <t>hajnalkurko@gmail.com</t>
  </si>
  <si>
    <t xml:space="preserve">2094 Nagykovácsi, Kossuth Lajos  utca 117/B </t>
  </si>
  <si>
    <t>Kurko Hajnal Aranka</t>
  </si>
  <si>
    <t>Kisiskola Általános Iskola</t>
  </si>
  <si>
    <t>Kölcsey-Gyurkó Lukács</t>
  </si>
  <si>
    <t>Szloboda Éva</t>
  </si>
  <si>
    <t>szlobodaeva@gmail.com</t>
  </si>
  <si>
    <t xml:space="preserve">1137 Budapest XIII. kerület, Pozsonyi út 14 </t>
  </si>
  <si>
    <t>Krajcsák Tamás</t>
  </si>
  <si>
    <t>Király Anikó</t>
  </si>
  <si>
    <t>krajcsakne@gmail.com</t>
  </si>
  <si>
    <t>1118 Budapest, Somlói út 70 I/1</t>
  </si>
  <si>
    <t>Krajcsákné Király Anikó</t>
  </si>
  <si>
    <t>Krajcsák</t>
  </si>
  <si>
    <t>Második nyelvként spanyol vagy olasz</t>
  </si>
  <si>
    <t>Krébesz Natasa</t>
  </si>
  <si>
    <t>Manhertz Tímea</t>
  </si>
  <si>
    <t>krebesz@t-online.hu</t>
  </si>
  <si>
    <t xml:space="preserve">1039 Budapest III. kerület, Bálint György utca 13 </t>
  </si>
  <si>
    <t>Kunfalvi Mira Zsófia</t>
  </si>
  <si>
    <t>Popovics Mónika</t>
  </si>
  <si>
    <t>monikakunfalvi@gmail.com</t>
  </si>
  <si>
    <t xml:space="preserve">2092 Budakeszi, Törökőr utca 27. </t>
  </si>
  <si>
    <t>Kunfalvi Mónika</t>
  </si>
  <si>
    <t>Kuti-Hancz Péter</t>
  </si>
  <si>
    <t>Kuti Márta</t>
  </si>
  <si>
    <t>daniel.hancz@gmail.com</t>
  </si>
  <si>
    <t xml:space="preserve">1152 Budapest XV. kerület, Telek utca 52-54. </t>
  </si>
  <si>
    <t>Lasztovicza Dávid</t>
  </si>
  <si>
    <t>Bácsi Katalin</t>
  </si>
  <si>
    <t>katalin.bacsi@gmail.com</t>
  </si>
  <si>
    <t>1025 Budapest II. kerület, Zöldmáli lejtő 10 B lph. 4 em. 18 a.</t>
  </si>
  <si>
    <t>Lázár Balázs</t>
  </si>
  <si>
    <t>Pintér Patrícia</t>
  </si>
  <si>
    <t>lbne.pinterpatricia@gmail.com</t>
  </si>
  <si>
    <t xml:space="preserve">1149 Budapest XIV. kerület, Egressy út 2 </t>
  </si>
  <si>
    <t xml:space="preserve">Leányvári Regő Bendegúz </t>
  </si>
  <si>
    <t xml:space="preserve">Árkus Eszter </t>
  </si>
  <si>
    <t>areszti@gmail.com</t>
  </si>
  <si>
    <t xml:space="preserve">1165 Budapest XVI. kerület, Orsika tér 10 </t>
  </si>
  <si>
    <t xml:space="preserve">Leányvári-Árkus Eszter </t>
  </si>
  <si>
    <t>Liu Sihan</t>
  </si>
  <si>
    <t>Tianjin</t>
  </si>
  <si>
    <t>Yu Yanan</t>
  </si>
  <si>
    <t>polaris160@163.com</t>
  </si>
  <si>
    <t>1027 Budapest II. kerület, MARGIT körút 48 2 em. 19 a.</t>
  </si>
  <si>
    <t>Lőrincz Jakab</t>
  </si>
  <si>
    <t>London</t>
  </si>
  <si>
    <t>Slezák Sára Mária</t>
  </si>
  <si>
    <t>loradam@gmail.com</t>
  </si>
  <si>
    <t xml:space="preserve">1015 Budapest I. kerület, Batthyány utca 34 </t>
  </si>
  <si>
    <t>Dr. Lőrincz Ádám</t>
  </si>
  <si>
    <t>Ludmány Ludovika</t>
  </si>
  <si>
    <t>Móga Zsuzsanna</t>
  </si>
  <si>
    <t>moga.zsuzsi@gmail.com</t>
  </si>
  <si>
    <t>1011 Budapest I. kerület, Fő utca 11-13 II/21.</t>
  </si>
  <si>
    <t>Zsuzsanna Móga</t>
  </si>
  <si>
    <t>Ludmány Sára Viola</t>
  </si>
  <si>
    <t>Györpál Tünde</t>
  </si>
  <si>
    <t>tunde.gyorpal@gmail.com</t>
  </si>
  <si>
    <t>1085 Budapest VIII. kerület, Pál utca 2.  Fsz.3.</t>
  </si>
  <si>
    <t>Ludmányné Györpál Tünde</t>
  </si>
  <si>
    <t>Lukáts Mátyás</t>
  </si>
  <si>
    <t>Takács Kornélia</t>
  </si>
  <si>
    <t>nelli.takacs@gmail.com</t>
  </si>
  <si>
    <t>1136 Budapest XIII. kerület, Pannónia utca 18 1 lph 2/1</t>
  </si>
  <si>
    <t>Machon Kinga Kitti</t>
  </si>
  <si>
    <t>Kudar Noémi Dorottya</t>
  </si>
  <si>
    <t>kudarnoemi@gmail.com</t>
  </si>
  <si>
    <t xml:space="preserve">1028 Budapest II. kerület, Rezeda utca 11. </t>
  </si>
  <si>
    <t>Machonné Kudar Noémi Dorottya</t>
  </si>
  <si>
    <t>Madar Tamás László</t>
  </si>
  <si>
    <t>Gombás Rita Adrienn</t>
  </si>
  <si>
    <t>lmadar3@gmail.com</t>
  </si>
  <si>
    <t>1012 Budapest I. kerület, Attila út 133 4. em. 3.</t>
  </si>
  <si>
    <t>Dr. Madar László</t>
  </si>
  <si>
    <t>Máhl Regina</t>
  </si>
  <si>
    <t>Molnár Eszter Mária</t>
  </si>
  <si>
    <t>molnar.eszt@gmail.com</t>
  </si>
  <si>
    <t xml:space="preserve">1012 Budapest I. kerület, Kosciuszkó T. utca 10-12. </t>
  </si>
  <si>
    <t>Máhl-Molnár Eszter</t>
  </si>
  <si>
    <t>Makai Dóra</t>
  </si>
  <si>
    <t>Pesta Melinda Mária</t>
  </si>
  <si>
    <t>pestamelinda@gmail.com</t>
  </si>
  <si>
    <t xml:space="preserve">1138 Budapest XIII. kerület, Karikás Frigyes utca 13 </t>
  </si>
  <si>
    <t>Makainé Pesta Melinda</t>
  </si>
  <si>
    <t xml:space="preserve">Mánya Zsófia Borka </t>
  </si>
  <si>
    <t>Krizsán Éva</t>
  </si>
  <si>
    <t>krizsievi@gmail.com</t>
  </si>
  <si>
    <t>6723 Szeged, HontbFerenc  utca 22 B 3/7</t>
  </si>
  <si>
    <t>Mánya-Krizsán Éva</t>
  </si>
  <si>
    <t xml:space="preserve">1021 Budapest II. kerület, Tárogató  út 10 </t>
  </si>
  <si>
    <t>Marcedula Annabella</t>
  </si>
  <si>
    <t>Tóth Emese</t>
  </si>
  <si>
    <t>emesese@hotmail.com</t>
  </si>
  <si>
    <t>1012 Budapest I. kerület, Kuny Domokos utca 8. 4/2.</t>
  </si>
  <si>
    <t>Marcedula-Tóth Emese</t>
  </si>
  <si>
    <t>Szivecske</t>
  </si>
  <si>
    <t>Márkus Márk</t>
  </si>
  <si>
    <t>Pölcz Fanni</t>
  </si>
  <si>
    <t>polczf@gmail.com</t>
  </si>
  <si>
    <t xml:space="preserve">1025 Budapest II. kerület, Pusztaszeri út 70/a </t>
  </si>
  <si>
    <t>Máthé Júlia Zita</t>
  </si>
  <si>
    <t>Bürger Nóra Erzsébet</t>
  </si>
  <si>
    <t>norakam@gmail.com</t>
  </si>
  <si>
    <t>1022 Budapest II. kerület, Fillér utca 50 A</t>
  </si>
  <si>
    <t>Medveczki Eszter Virág</t>
  </si>
  <si>
    <t>Őri Teodóra</t>
  </si>
  <si>
    <t>ori.teodora@yahoo.de</t>
  </si>
  <si>
    <t>1222 Budapest XXII. kerület, Csallóköz  út 3 1</t>
  </si>
  <si>
    <t>Medveczki Őri Teodóra</t>
  </si>
  <si>
    <t>Melha Dorottya</t>
  </si>
  <si>
    <t>Berg Zsófia Erzsébet</t>
  </si>
  <si>
    <t>melha.kalman@gmail.com</t>
  </si>
  <si>
    <t>1016 Budapest I. kerület, Mészáros utca 6 3./17.</t>
  </si>
  <si>
    <t>Melháné Berg Zsófia</t>
  </si>
  <si>
    <t>Mihalkó-Nagy Boldizsár</t>
  </si>
  <si>
    <t>Mihalkó Viktória</t>
  </si>
  <si>
    <t>balu17hu@gmail.com</t>
  </si>
  <si>
    <t>1146 Budapest XIV. kerület, Cházár András utca 19 8/b</t>
  </si>
  <si>
    <t>Nagy Balázs</t>
  </si>
  <si>
    <t>Mika Laura Ágnes</t>
  </si>
  <si>
    <t>Duli Ágnes Judit</t>
  </si>
  <si>
    <t>agnes.mikaduli@gmail.com</t>
  </si>
  <si>
    <t xml:space="preserve">1121 Budapest XII. kerület, Pipiske utca 6. </t>
  </si>
  <si>
    <t>Mika-Duli Ágnes</t>
  </si>
  <si>
    <t>Mohai Máté</t>
  </si>
  <si>
    <t>Zagyvai Ildikó</t>
  </si>
  <si>
    <t>iadamx@gmail.com</t>
  </si>
  <si>
    <t>1036 Budapest III. kerület, Lajos utca 93-99. E. lh. 7.em. 8.a.</t>
  </si>
  <si>
    <t>Mohai Ádám</t>
  </si>
  <si>
    <t>Amennyiben lehetséges, Máté 2026.03.06-ától eltérő napon szeretne szóbeli felvételin részt venni.</t>
  </si>
  <si>
    <t>Molnár Emma</t>
  </si>
  <si>
    <t>Werner Zsuzsanna</t>
  </si>
  <si>
    <t>angelkingdom.kennel@gmail.com</t>
  </si>
  <si>
    <t xml:space="preserve">2045 Törökbálint, Zengő utca 11 </t>
  </si>
  <si>
    <t>Zsuzsanna Molnár-Werner</t>
  </si>
  <si>
    <t>Mukhamadeev Iasmina</t>
  </si>
  <si>
    <t>Ufa</t>
  </si>
  <si>
    <t>Khalimova Alina</t>
  </si>
  <si>
    <t>alina.mukhamadeeva84@gmail.com</t>
  </si>
  <si>
    <t>1139 Budapest XIII. kerület, Teve utca 18-22 A, 905</t>
  </si>
  <si>
    <t>Alina Mukhamadeeva</t>
  </si>
  <si>
    <t>Nádas Olivér</t>
  </si>
  <si>
    <t>Dugovich Krisztina</t>
  </si>
  <si>
    <t>dugovich@gmail.com</t>
  </si>
  <si>
    <t>1025 Budapest II. kerület, Ruthén út 59/B fszt 2.</t>
  </si>
  <si>
    <t>dr. Dugovich Krisztina</t>
  </si>
  <si>
    <t>Nádudvari Júlia Márta</t>
  </si>
  <si>
    <t>dr. Mucskai Ágota Márta</t>
  </si>
  <si>
    <t>mucskai@gmail.com</t>
  </si>
  <si>
    <t xml:space="preserve">1126 Budapest XII. kerület, Beethoven utca 2a </t>
  </si>
  <si>
    <t>Dr. Mucskai Ágota</t>
  </si>
  <si>
    <t>Nagy Franciska Léna</t>
  </si>
  <si>
    <t>Bendes Edit</t>
  </si>
  <si>
    <t>editbendes81@gmail.com</t>
  </si>
  <si>
    <t xml:space="preserve">2016 Leányfalu, Seres utca  utca 29. </t>
  </si>
  <si>
    <t>Nagy Imréné</t>
  </si>
  <si>
    <t>Szentendrei Barcsay Jenő Általános Iskola</t>
  </si>
  <si>
    <t>Nagy Viktória</t>
  </si>
  <si>
    <t>Horváth Katalin</t>
  </si>
  <si>
    <t>nagylaszlo81@gmail.com</t>
  </si>
  <si>
    <t>1126 Budapest XII. kerület, Szendrő utca 48-52 A. ép. A. lh 1/4</t>
  </si>
  <si>
    <t>Nagy László</t>
  </si>
  <si>
    <t>Nagy-Rácz Liza</t>
  </si>
  <si>
    <t>Rácz Andrea</t>
  </si>
  <si>
    <t>nagyracz.istvan@gmail.com</t>
  </si>
  <si>
    <t>2051 Biatorbágy, Táncsics Mihály utca 5 A</t>
  </si>
  <si>
    <t>Nagy-Rácz Andrea</t>
  </si>
  <si>
    <t>Nagy-Varga Hunor</t>
  </si>
  <si>
    <t>Varga Diána</t>
  </si>
  <si>
    <t>dius.varga@gmail.com</t>
  </si>
  <si>
    <t xml:space="preserve">1118 Budapest XI. kerület, Kaptárkő utca 6. </t>
  </si>
  <si>
    <t>Nayof Mateo</t>
  </si>
  <si>
    <t>Gárdonyi Gabriella</t>
  </si>
  <si>
    <t>vizibogyo@yahoo.com</t>
  </si>
  <si>
    <t>1141 Budapest XIV. kerület, Szugló utca 159 II/4.</t>
  </si>
  <si>
    <t>Nemes Andor</t>
  </si>
  <si>
    <t>Jakab Éva</t>
  </si>
  <si>
    <t>jakabev@gmail.com</t>
  </si>
  <si>
    <t xml:space="preserve">1137 Budapest XIII. kerület, Radnóti Miklós utca 9. </t>
  </si>
  <si>
    <t>Nemes-Jakab Éva</t>
  </si>
  <si>
    <t>Németh Domonkos</t>
  </si>
  <si>
    <t>Spengler Katalin</t>
  </si>
  <si>
    <t>nemethg@gmail.com</t>
  </si>
  <si>
    <t>1143 Budapest XIV. kerület, Ilka utca 47. 2. em. 2.</t>
  </si>
  <si>
    <t>Németh Gergely</t>
  </si>
  <si>
    <t>Németh Korina</t>
  </si>
  <si>
    <t>Bartha Ágnes Zsuzsanna</t>
  </si>
  <si>
    <t>newfy0405@gmail.com</t>
  </si>
  <si>
    <t xml:space="preserve">1196 Budapest XIX. kerület, Batthyány utca 64 </t>
  </si>
  <si>
    <t>1036 Budapest III. kerület, Lajos utca 113 4/18.</t>
  </si>
  <si>
    <t>Németh Levente</t>
  </si>
  <si>
    <t>Somogyi Virág</t>
  </si>
  <si>
    <t>virag.somogyi@gmail.com</t>
  </si>
  <si>
    <t>1021 Budapest II. kerület, Budenz út 10/B fsz. 1.</t>
  </si>
  <si>
    <t>Novák Ádám</t>
  </si>
  <si>
    <t>Dunajská Streda</t>
  </si>
  <si>
    <t>Kis Éva</t>
  </si>
  <si>
    <t>kisevanovak@gmail.com</t>
  </si>
  <si>
    <t>1015 Budapest, Toldy Ferenc  utca 56 I/4a</t>
  </si>
  <si>
    <t>Nyári Emma</t>
  </si>
  <si>
    <t>Makrai Fanni Csilla</t>
  </si>
  <si>
    <t>fanni.makrai@gmail.com</t>
  </si>
  <si>
    <t xml:space="preserve">8174 Balatonkenese, Nyárfa sor 30 </t>
  </si>
  <si>
    <t xml:space="preserve">1123 Budapest XII. kerület, Győri út 2/C </t>
  </si>
  <si>
    <t>Nyári Nóra</t>
  </si>
  <si>
    <t>Horváth Ágnes</t>
  </si>
  <si>
    <t xml:space="preserve">1028 Budapest II. kerület, Patakhegyi utca 87 </t>
  </si>
  <si>
    <t>Orbán-Kiss Donát</t>
  </si>
  <si>
    <t>Kiss Anna Edit</t>
  </si>
  <si>
    <t>xunilo@gmail.com</t>
  </si>
  <si>
    <t xml:space="preserve">2066 Szár, Somogyi Béla utca 51 </t>
  </si>
  <si>
    <t>Orbán Sándor</t>
  </si>
  <si>
    <t>Szári Romhányi György Nyelvoktató Német Nemzetiségi Általános Iskola</t>
  </si>
  <si>
    <t>P.Fülöp Olivér</t>
  </si>
  <si>
    <t>Soós Enikő</t>
  </si>
  <si>
    <t>1131 Budapest XIII. kerület, Keszkenő utca 16-18. 2/11</t>
  </si>
  <si>
    <t>Pálfi Mária Róza</t>
  </si>
  <si>
    <t>Zsófia Ruttkay</t>
  </si>
  <si>
    <t>ruttkayzsofia@gmail.com</t>
  </si>
  <si>
    <t>1016 Budapest I. kerület, Naphegy utca 15 1/6</t>
  </si>
  <si>
    <t>Ruttkay Zsófia</t>
  </si>
  <si>
    <t>1016 Budapest I. kerület, Mészáros utca 30 1/1</t>
  </si>
  <si>
    <t>Pap Benedek Álmos</t>
  </si>
  <si>
    <t>Kalmár Lili Ilona</t>
  </si>
  <si>
    <t>pap.istvan.imre@gmail.com</t>
  </si>
  <si>
    <t xml:space="preserve">1112 Budapest XI. kerület, Péterhegyi köz 30. </t>
  </si>
  <si>
    <t>Pap István Imre</t>
  </si>
  <si>
    <t xml:space="preserve">1221 Budapest XXII. kerület, Jogar utca 13/B </t>
  </si>
  <si>
    <t>Papp Emese</t>
  </si>
  <si>
    <t>Bánvölgyi Cecília</t>
  </si>
  <si>
    <t>cecilia.banvolgyi@gmail.com</t>
  </si>
  <si>
    <t xml:space="preserve">2013 Pomáz, Huszár utca 2A </t>
  </si>
  <si>
    <t>Pappné dr Bánvölgyi Cecília</t>
  </si>
  <si>
    <t>Pomázi Mátyás Király Általános Iskola</t>
  </si>
  <si>
    <t>Papp Liza</t>
  </si>
  <si>
    <t>Széles Fruzsina</t>
  </si>
  <si>
    <t>fruzsina.szeles@gmail.com</t>
  </si>
  <si>
    <t xml:space="preserve">2040 Budaörs, Vak Bottyán utca 38/A </t>
  </si>
  <si>
    <t>Pásztor Dániel Dezső</t>
  </si>
  <si>
    <t>Winkler Katalin</t>
  </si>
  <si>
    <t>katalin.winkler@gmail.com</t>
  </si>
  <si>
    <t xml:space="preserve">1025 Budapest II. kerület, Törökvész út 81. </t>
  </si>
  <si>
    <t>Pavlics Anna Léna</t>
  </si>
  <si>
    <t>Horváth Kata</t>
  </si>
  <si>
    <t>kata.horvath85@gmail.com</t>
  </si>
  <si>
    <t>1039 Budapest III. kerület, Árpád utca 123/B 2</t>
  </si>
  <si>
    <t>Pavlics-Horváth Kata</t>
  </si>
  <si>
    <t>Pertl Vilmos</t>
  </si>
  <si>
    <t>dr. Petróczy Kinga Katalin</t>
  </si>
  <si>
    <t>kingus1979@yahoo.com</t>
  </si>
  <si>
    <t>1022 Budapest II. kerület, Tapolcsányi utca 11. B ép. 2. Lph. 2. em. 4.</t>
  </si>
  <si>
    <t>Pertl Gábor</t>
  </si>
  <si>
    <t>Péter Lilla</t>
  </si>
  <si>
    <t>Kis Erika Gabriella</t>
  </si>
  <si>
    <t>kiserika@hotmail.com</t>
  </si>
  <si>
    <t>1141 Budapest XIV. kerület, Öv utca 105 A</t>
  </si>
  <si>
    <t>Kis Erika</t>
  </si>
  <si>
    <t>Pető Dániel Ádám</t>
  </si>
  <si>
    <t>Sanghaj</t>
  </si>
  <si>
    <t>Zhu Tianhua</t>
  </si>
  <si>
    <t>peter.peto@gmail.com</t>
  </si>
  <si>
    <t xml:space="preserve">1119 Budapest XI. kerület, Rátz L. utca 24 </t>
  </si>
  <si>
    <t>Pető Péter Pál</t>
  </si>
  <si>
    <t>Petrik Anna</t>
  </si>
  <si>
    <t>Dr. Rebenstorf Kathrin</t>
  </si>
  <si>
    <t>andris.petrik@gmail.com</t>
  </si>
  <si>
    <t>1111 Budapest XI. kerület, Bertalan Lajos utca 19 7. em 2.a.</t>
  </si>
  <si>
    <t>Petrik András János</t>
  </si>
  <si>
    <t>Petrov Ferdinánd</t>
  </si>
  <si>
    <t>Speer Claudia</t>
  </si>
  <si>
    <t>claudia.speer@gmail.com</t>
  </si>
  <si>
    <t xml:space="preserve">1125 Budapest XII. kerület, Diós  árok 10a </t>
  </si>
  <si>
    <t>Fe16Cl</t>
  </si>
  <si>
    <t>Posztobányi Kálmán Borisz</t>
  </si>
  <si>
    <t>Gácsi Magdolna Anikó</t>
  </si>
  <si>
    <t>posztobanyi.aniko@gmail.com</t>
  </si>
  <si>
    <t xml:space="preserve">1023 Budapest II. kerület, Lukács  utca 1. </t>
  </si>
  <si>
    <t>Posztobányi Magdolna Anikó</t>
  </si>
  <si>
    <t>Pozsgai Hanga</t>
  </si>
  <si>
    <t>Galanics Henriett</t>
  </si>
  <si>
    <t>pozsgai.vince@gmail.com</t>
  </si>
  <si>
    <t xml:space="preserve">1119 Budapest XI. kerület, Induló utca 6. </t>
  </si>
  <si>
    <t>Pozsgai Vince</t>
  </si>
  <si>
    <t>Pőcze Júlia</t>
  </si>
  <si>
    <t>Szalai Katalin Judit</t>
  </si>
  <si>
    <t>pb@mito.hu</t>
  </si>
  <si>
    <t>1122 Budapest XII. kerület, Határőr út 61 MF. 2 a.</t>
  </si>
  <si>
    <t>Pőcze Balázs</t>
  </si>
  <si>
    <t>1133 Budapest XIII. kerület, Ipoly utca 20 4 em. 1 a.</t>
  </si>
  <si>
    <t>Puhle Benjámin</t>
  </si>
  <si>
    <t>Lakatos Veronika</t>
  </si>
  <si>
    <t>dr.veronika.lakatos@gmail.com</t>
  </si>
  <si>
    <t xml:space="preserve">1056 Budapest V. kerület, Nyáry Pál utca 4 </t>
  </si>
  <si>
    <t>Rácz-Terstyánszky Sára</t>
  </si>
  <si>
    <t>Terstyánszky Bea</t>
  </si>
  <si>
    <t>bea.terstyanszky@gmail.com</t>
  </si>
  <si>
    <t xml:space="preserve">1161 Budapest, Madách  utca 39 </t>
  </si>
  <si>
    <t>Rádosi Romina Liza</t>
  </si>
  <si>
    <t>Róka Dominika</t>
  </si>
  <si>
    <t>rokadominika4@gmail.com</t>
  </si>
  <si>
    <t xml:space="preserve">1163 Budapest, Bodnár utca 40 </t>
  </si>
  <si>
    <t>RÓKA DOMINIKA</t>
  </si>
  <si>
    <t>Recsnik-Bosch Zoé</t>
  </si>
  <si>
    <t>Bosch Ágota Ildikó</t>
  </si>
  <si>
    <t>recso29@gmail.com</t>
  </si>
  <si>
    <t xml:space="preserve">1116 Budapest XI. kerület, Narancs utca 10 </t>
  </si>
  <si>
    <t>Recsnik-Bosch Ágota</t>
  </si>
  <si>
    <t>Réti Réka Renáta</t>
  </si>
  <si>
    <t>Nádudvary Ágnes</t>
  </si>
  <si>
    <t>reti.nadudvary.agnes@gmail.com</t>
  </si>
  <si>
    <t>1181 Budapest XVIII. kerület, Vándor Sándor utca 3 5/67</t>
  </si>
  <si>
    <t>Réti Ágnes</t>
  </si>
  <si>
    <t>1126 Budapest XII. kerület, Gyimes utca 11/b mf.2.</t>
  </si>
  <si>
    <t>Risko András</t>
  </si>
  <si>
    <t>Petrovszka Viktoria</t>
  </si>
  <si>
    <t>petrovszkaviktoria@jednisty.org</t>
  </si>
  <si>
    <t xml:space="preserve">1174 Budapest XVII. kerület, Erdőkövesd  utca 43 </t>
  </si>
  <si>
    <t>Ruthner Brúnó</t>
  </si>
  <si>
    <t>Lehoczki Bernadett</t>
  </si>
  <si>
    <t>blehocz@gmail.com</t>
  </si>
  <si>
    <t xml:space="preserve">1026 Budapest II. kerület, Gyergyó  utca 5 </t>
  </si>
  <si>
    <t>Ruthner Gábor</t>
  </si>
  <si>
    <t>Sámi Borbála</t>
  </si>
  <si>
    <t>Bolberitz Zsófia</t>
  </si>
  <si>
    <t>sami.zsombor@t-online.hu</t>
  </si>
  <si>
    <t>1013 Budapest I. kerület, Pauler utca 19. 2. em. 1. a.</t>
  </si>
  <si>
    <t>dr. Sámi Zsombor</t>
  </si>
  <si>
    <t>Sárvári Félix Balázs</t>
  </si>
  <si>
    <t>Dr. Tőkési Natália Judit</t>
  </si>
  <si>
    <t>sibot22@gmail.com</t>
  </si>
  <si>
    <t xml:space="preserve">1014 Budapest I. kerület, Dísz tér 8 </t>
  </si>
  <si>
    <t xml:space="preserve">1124 Budapest XII. kerület, Lejtő út 45 </t>
  </si>
  <si>
    <t>Ógyáb</t>
  </si>
  <si>
    <t>I. kerületi lakos, Anyuka és Nagynéni is öregdiák (Tőkési Viki és Nati)</t>
  </si>
  <si>
    <t>Schay Benedek</t>
  </si>
  <si>
    <t>Sükösd Zita</t>
  </si>
  <si>
    <t>daniel.schay@gmail.com</t>
  </si>
  <si>
    <t xml:space="preserve">1121 Budapest, Irhás árok utca 53 </t>
  </si>
  <si>
    <t>Schay Daniel</t>
  </si>
  <si>
    <t>Schiffer Barnabás</t>
  </si>
  <si>
    <t>Herpai Agnes</t>
  </si>
  <si>
    <t>agnes.herpai@yahoo.com</t>
  </si>
  <si>
    <t xml:space="preserve">2093 Budajenő, Bronztű utca 8 </t>
  </si>
  <si>
    <t>SCHNEIDER SÁMUEL</t>
  </si>
  <si>
    <t>PAPP ÉVA</t>
  </si>
  <si>
    <t>pappevafoto@yahoo.com</t>
  </si>
  <si>
    <t>1113 Budapest XI. kerület, Elek utca 3/B 2.em. 2.ajtó</t>
  </si>
  <si>
    <t>SCHNEIDER ZOLTÁN</t>
  </si>
  <si>
    <t xml:space="preserve">Sebestyén Máté </t>
  </si>
  <si>
    <t>dr. Zábrádi Réka</t>
  </si>
  <si>
    <t>drsebestyenreka1@gmail.com</t>
  </si>
  <si>
    <t xml:space="preserve">2096 Üröm, Kövirózsa  utca 5/A  </t>
  </si>
  <si>
    <t>dr. Sebestyén Réka</t>
  </si>
  <si>
    <t>Seres Marcel</t>
  </si>
  <si>
    <t>Szeverényi Krisztina</t>
  </si>
  <si>
    <t>seresgab@gmail.com</t>
  </si>
  <si>
    <t>1134 Budapest, Lőportár utca 9-13 D/307</t>
  </si>
  <si>
    <t>Seres Gábor</t>
  </si>
  <si>
    <t>HelloGimnaziumBudapest2026</t>
  </si>
  <si>
    <t>Simon Lilla Zsófia</t>
  </si>
  <si>
    <t>Kovács Lívia</t>
  </si>
  <si>
    <t>kovacs.livia@gmail.com</t>
  </si>
  <si>
    <t>1117 Budapest XI. kerület, Hamzsabégi út 15.  2/3</t>
  </si>
  <si>
    <t>Kovás Lívia</t>
  </si>
  <si>
    <t xml:space="preserve">1117 Budapest XI. kerület, Prielle Kornélia utca 19/F </t>
  </si>
  <si>
    <t>Sinóros-Szabó Noé</t>
  </si>
  <si>
    <t>Ambrózy Noémi</t>
  </si>
  <si>
    <t>ambrozy.noemi@gmail.com</t>
  </si>
  <si>
    <t>1021 Budapest II. kerület, Nyéki út 9 2/1</t>
  </si>
  <si>
    <t>Sipos-Cserjési Horka</t>
  </si>
  <si>
    <t>Cserjési Dominika</t>
  </si>
  <si>
    <t>cserjesi@yahoo.fr</t>
  </si>
  <si>
    <t>1118 Budapest XI. kerület, Bajmóci utca 3. 2.35.</t>
  </si>
  <si>
    <t>Sisak Luca Száva</t>
  </si>
  <si>
    <t>Csernák Leonóra</t>
  </si>
  <si>
    <t>csernaknori@gmail.com</t>
  </si>
  <si>
    <t xml:space="preserve">1112 Budapest XI. kerület, Tömös utca 20 </t>
  </si>
  <si>
    <t>Sisak-Csernák Leonóra</t>
  </si>
  <si>
    <t>Sólyom Lili</t>
  </si>
  <si>
    <t>dr. Szőke Annamária</t>
  </si>
  <si>
    <t>szokeannamaria@gmail.com</t>
  </si>
  <si>
    <t xml:space="preserve">1125 Budapest XII. kerület, Tusnádi  utca 6/B </t>
  </si>
  <si>
    <t>Somos Róza</t>
  </si>
  <si>
    <t>Kunos Kata</t>
  </si>
  <si>
    <t>kunoskata@gmail.com</t>
  </si>
  <si>
    <t xml:space="preserve">2092 Budakeszi, Rákóczi utca 14. </t>
  </si>
  <si>
    <t xml:space="preserve">2040 Budaörs, Széchenyi  utca 10. </t>
  </si>
  <si>
    <t>Stefkó Anna Szofia</t>
  </si>
  <si>
    <t>dr. Németh Katalin Edina</t>
  </si>
  <si>
    <t>dr.katalin.nemeth@gmail.com</t>
  </si>
  <si>
    <t>1118 Budapest XI. kerület, Iglói utca 4 3. em. 8</t>
  </si>
  <si>
    <t>Dr Németh Katalin Edina</t>
  </si>
  <si>
    <t>Stock Leó</t>
  </si>
  <si>
    <t>Puskás Andrea</t>
  </si>
  <si>
    <t>andrea.puskas1@gmail.com</t>
  </si>
  <si>
    <t xml:space="preserve">1028 Budapest II. kerület, Kokárda utca 18. </t>
  </si>
  <si>
    <t>Sulyok Dániel Milán</t>
  </si>
  <si>
    <t>Magosi Edina Anna</t>
  </si>
  <si>
    <t>edina.magosi@gmail.com</t>
  </si>
  <si>
    <t xml:space="preserve">2030 Érd, Ágoston utca 33. </t>
  </si>
  <si>
    <t>Sulyok-Magosi Edina</t>
  </si>
  <si>
    <t>Szabadházi Laura Ivett</t>
  </si>
  <si>
    <t>Orosz Ivett Viktória</t>
  </si>
  <si>
    <t>dr.szabadhazy.andras@dh.hu</t>
  </si>
  <si>
    <t xml:space="preserve">1016 Budapest I. kerület, Mihály utca 7/A. </t>
  </si>
  <si>
    <t>dr. Szabadházi András</t>
  </si>
  <si>
    <t>Szabó Letícia Anna</t>
  </si>
  <si>
    <t>Bobály Enikő</t>
  </si>
  <si>
    <t xml:space="preserve">1161 Budapest, Madách utca 51 </t>
  </si>
  <si>
    <t>Szabó Milán</t>
  </si>
  <si>
    <t>Nguyen Thuy Lien</t>
  </si>
  <si>
    <t>liengeri@gmail.com</t>
  </si>
  <si>
    <t>1062 Budapest VI. kerület, Aradi utca 38 A lph 6/1</t>
  </si>
  <si>
    <t>Gergely Szabó</t>
  </si>
  <si>
    <t>1064 Budapest VI. kerület, Izabella utca 85 3/6</t>
  </si>
  <si>
    <t>Szabó Nándor Ottó</t>
  </si>
  <si>
    <t>Vereckei Adrienn Ágnes</t>
  </si>
  <si>
    <t>gergelyszabos@gmail.com</t>
  </si>
  <si>
    <t xml:space="preserve">2011 Budakalász, Barát utca 12 </t>
  </si>
  <si>
    <t>Szabó Gergely</t>
  </si>
  <si>
    <t>Szabó Zsófia Kitti</t>
  </si>
  <si>
    <t>Forgács Bettina Ivett</t>
  </si>
  <si>
    <t>forgacs.bettina@gmail.com</t>
  </si>
  <si>
    <t xml:space="preserve">1116 Budapest XI. kerület, Körmend utca 14 </t>
  </si>
  <si>
    <t>Bettina Ivett Forgacs</t>
  </si>
  <si>
    <t>Szabó-Vitéz Elza</t>
  </si>
  <si>
    <t>Vitéz Zita</t>
  </si>
  <si>
    <t>ziszab@gmail.com</t>
  </si>
  <si>
    <t xml:space="preserve">1223 Budapest XXII. kerület, Vörösmarty utca 28 </t>
  </si>
  <si>
    <t>Szabó-Vitéz Elek</t>
  </si>
  <si>
    <t>Szalai Gergő Máté</t>
  </si>
  <si>
    <t>Pogány Viktória</t>
  </si>
  <si>
    <t>kisvakond1@yahoo.com</t>
  </si>
  <si>
    <t xml:space="preserve">2081 Piliscsaba, Nyárfa fasor 36. </t>
  </si>
  <si>
    <t>Dr. Pogány Viktória</t>
  </si>
  <si>
    <t>Pilisszentiváni Német Nemzetiségi Általános Iskola és Alapfokú Művészeti Iskola</t>
  </si>
  <si>
    <t>Szász Lili Sára</t>
  </si>
  <si>
    <t>Tajta Krisztina</t>
  </si>
  <si>
    <t>tajtakriszta@gmail.com</t>
  </si>
  <si>
    <t xml:space="preserve">1118 Budapest, Hársmajor utca 4 </t>
  </si>
  <si>
    <t>Szemerédy Boldizsár</t>
  </si>
  <si>
    <t>Hégely Magdolna</t>
  </si>
  <si>
    <t>magdolna.hegely@gmail.com</t>
  </si>
  <si>
    <t>2051 Biatorbágy, Csodaszarvas utca 49. 2a.</t>
  </si>
  <si>
    <t>2051 Biatorbágy, Szily Kálmán út 17. 1a.</t>
  </si>
  <si>
    <t>Boldizsár első osztály óta német nyelvet tanul, ezt szeretné folytatni, ezt szeretné első idegen nyelvnek választani</t>
  </si>
  <si>
    <t>Szenczi Dávid</t>
  </si>
  <si>
    <t>Becsei Orsolya</t>
  </si>
  <si>
    <t>becsei.orsi@gmail.com</t>
  </si>
  <si>
    <t xml:space="preserve">1112 Budapest XI. kerület, Kismákfa  utca 2 </t>
  </si>
  <si>
    <t>Szentes Júlia</t>
  </si>
  <si>
    <t>Németh Eszter</t>
  </si>
  <si>
    <t>neszter19@gmail.com</t>
  </si>
  <si>
    <t xml:space="preserve">1034 Budapest III. kerület, Pacsirtamező utca 34 </t>
  </si>
  <si>
    <t>Szentes Eszter</t>
  </si>
  <si>
    <t>Szentpéteri Szonja</t>
  </si>
  <si>
    <t>Wrana Krisztina</t>
  </si>
  <si>
    <t>krisztina.wrana@gmail.com</t>
  </si>
  <si>
    <t>1118 Budapest XI. kerület, Frankhegy utca 7 5/20</t>
  </si>
  <si>
    <t>Szilágyi Dénes</t>
  </si>
  <si>
    <t>Klára Verebélyi</t>
  </si>
  <si>
    <t>1147 Budapest XIV. kerület, Czobor utca 73 2/6</t>
  </si>
  <si>
    <t>Szilágyi Janka</t>
  </si>
  <si>
    <t>Udvarhelyi Anna</t>
  </si>
  <si>
    <t>krisztian217@gmail.com</t>
  </si>
  <si>
    <t xml:space="preserve">1124 Budapest XII. kerület, Pagony utca 32-34 </t>
  </si>
  <si>
    <t>Szilágyi Krisztián</t>
  </si>
  <si>
    <t>Szilágyi Lőrinc</t>
  </si>
  <si>
    <t>dr. Andriska Ildikó</t>
  </si>
  <si>
    <t>andriska.ildiko@gmail.com</t>
  </si>
  <si>
    <t xml:space="preserve">1222 Budapest XXII. kerület, Ibrik utca 24. </t>
  </si>
  <si>
    <t>Szilvási Bálint</t>
  </si>
  <si>
    <t>Gerencsér Orsolya</t>
  </si>
  <si>
    <t>szgorsi@gmail.com</t>
  </si>
  <si>
    <t>1118 Budapest XI. kerület, Frankhegy utca 6. 2/8.</t>
  </si>
  <si>
    <t>Szilvási Orsolya</t>
  </si>
  <si>
    <t>Szopkó Dániel</t>
  </si>
  <si>
    <t>Varga Eszter Vera</t>
  </si>
  <si>
    <t>vargaesztervera@gmail.com</t>
  </si>
  <si>
    <t xml:space="preserve">1028 Budapest II. kerület, Máriaremetei út 6 </t>
  </si>
  <si>
    <t xml:space="preserve">1028 Budapest II. kerület, Pozsonyi utca 1 </t>
  </si>
  <si>
    <t>Tatár Miksa</t>
  </si>
  <si>
    <t>Erős Réka</t>
  </si>
  <si>
    <t>tatar.boldizsar@gmail.com</t>
  </si>
  <si>
    <t>1026 Budapest II. kerület, Pasaréti út 108-110. A ép. földszint 1. ajtó</t>
  </si>
  <si>
    <t>Tatár Boldizsár</t>
  </si>
  <si>
    <t>Tatár Miléna Sára</t>
  </si>
  <si>
    <t>Kaposvári Martina</t>
  </si>
  <si>
    <t>kaposvari_martina@yahoo.com</t>
  </si>
  <si>
    <t>1013 Budapest I. kerület, Attila utca 20 2 em 1</t>
  </si>
  <si>
    <t>Tátrai Lilla</t>
  </si>
  <si>
    <t>Simon Annamária</t>
  </si>
  <si>
    <t>pamisimpa@gmail.com</t>
  </si>
  <si>
    <t xml:space="preserve">1145 Budapest XIV. kerület, Emília utca 30 </t>
  </si>
  <si>
    <t>Dr. Tátrai Annamária</t>
  </si>
  <si>
    <t>Tóth Enikő Sarolta</t>
  </si>
  <si>
    <t>Fekete Katalin</t>
  </si>
  <si>
    <t>feketekat77@gmail.com</t>
  </si>
  <si>
    <t xml:space="preserve">1118 Budapest XI. kerület, Sümegvár  utca 10 </t>
  </si>
  <si>
    <t>dr. Fekete Katalin</t>
  </si>
  <si>
    <t>Tóth Mátyás Attila</t>
  </si>
  <si>
    <t>Komárom</t>
  </si>
  <si>
    <t>Szalaiova Andrea</t>
  </si>
  <si>
    <t>attilatoth.mail@gmail.com</t>
  </si>
  <si>
    <t>1114 Budapest XI. kerület, Bartók Béla  út 9 3.em.4</t>
  </si>
  <si>
    <t>Tóth Attila</t>
  </si>
  <si>
    <t>Tóth Vencel</t>
  </si>
  <si>
    <t>Solti Réka</t>
  </si>
  <si>
    <t>srekawork@gmail.com</t>
  </si>
  <si>
    <t>2030 Érd, Szendrői utca 29 2</t>
  </si>
  <si>
    <t>Réka Solti</t>
  </si>
  <si>
    <t xml:space="preserve">2045 Törökbálint, Álmos Vezér utca 3 </t>
  </si>
  <si>
    <t>Tölgyesi Kinga</t>
  </si>
  <si>
    <t>Morvai Krisztina</t>
  </si>
  <si>
    <t>kriszti.morvai@gmail.com</t>
  </si>
  <si>
    <t xml:space="preserve">1031 Budapest III. kerület, Tündérvirág utca 8. </t>
  </si>
  <si>
    <t>Tölgyesi-Morvai Krisztina</t>
  </si>
  <si>
    <t>Óbudai Szent Péter és Pál Szalézi Általános Iskola és Óvoda</t>
  </si>
  <si>
    <t>Trencséni-Kovács Eliot</t>
  </si>
  <si>
    <t>Trencséni Piroska</t>
  </si>
  <si>
    <t>1zoltakov1@gmail.com</t>
  </si>
  <si>
    <t>1027 Budapest II. kerület, Frankel Leó út 3 Fsz. 8.</t>
  </si>
  <si>
    <t>Kovács Zoltán</t>
  </si>
  <si>
    <t>Ungár Bertold</t>
  </si>
  <si>
    <t>Hegyi Tímea Adél</t>
  </si>
  <si>
    <t>ungarpeter@gmail.com</t>
  </si>
  <si>
    <t>1016 Budapest I. kerület, Krisztina körút 75/b 1/3.</t>
  </si>
  <si>
    <t>Ungár-Hegyi Tímea</t>
  </si>
  <si>
    <t>Valuska Marcell</t>
  </si>
  <si>
    <t>Pócsi Renáta</t>
  </si>
  <si>
    <t xml:space="preserve">1016 Budapest I. kerület, Krisztina körút 87-89 </t>
  </si>
  <si>
    <t xml:space="preserve">1071 Budapest VII. kerület, Bajza utca 8 </t>
  </si>
  <si>
    <t>Varga Dénes</t>
  </si>
  <si>
    <t>Kistarcsa</t>
  </si>
  <si>
    <t>Nyitrai Erika</t>
  </si>
  <si>
    <t>erika221@gmail.com</t>
  </si>
  <si>
    <t xml:space="preserve">2145 Kerepes, Erkel Ferenc utca 30 </t>
  </si>
  <si>
    <t xml:space="preserve">Kerepesi Széchenyi István Általános Iskola </t>
  </si>
  <si>
    <t>Varga Eszter</t>
  </si>
  <si>
    <t>Fülöp Melinda</t>
  </si>
  <si>
    <t>lorant.varga@evk.hu</t>
  </si>
  <si>
    <t>1125 Budapest XII. kerület, Diana utca 24 Fsz. 2.</t>
  </si>
  <si>
    <t>Varga Lóránt</t>
  </si>
  <si>
    <t xml:space="preserve">1125 Budapest XII. kerület, Diana utca 24/2 </t>
  </si>
  <si>
    <t>Varga-Perke Vince</t>
  </si>
  <si>
    <t>Ács Katalin Julianna</t>
  </si>
  <si>
    <t>entetiger@gmail.com</t>
  </si>
  <si>
    <t>1084 Budapest VIII. kerület, Fecske utca 17-19. 3.5</t>
  </si>
  <si>
    <t>Ács Katalin</t>
  </si>
  <si>
    <t>1082 Budapest VIII. kerület, Baross utca utca 114-116. 1.10</t>
  </si>
  <si>
    <t>Várkonyi Bátor</t>
  </si>
  <si>
    <t>Kovács Angéla</t>
  </si>
  <si>
    <t>capimaister@gmail.com</t>
  </si>
  <si>
    <t xml:space="preserve">8083 Csákvár, Kálvária köz 1. </t>
  </si>
  <si>
    <t>Várkonyi Dániel</t>
  </si>
  <si>
    <t>Fehér Krisztina</t>
  </si>
  <si>
    <t>varkonyiadam@gmail.com</t>
  </si>
  <si>
    <t xml:space="preserve">1028 Budapest II. kerület, Gyopár utca 10 </t>
  </si>
  <si>
    <t>Várkonyi Ádám</t>
  </si>
  <si>
    <t>Warden</t>
  </si>
  <si>
    <t>Vass Oszkár Dániel</t>
  </si>
  <si>
    <t>Králik dóra</t>
  </si>
  <si>
    <t>dkralik@gmail.com</t>
  </si>
  <si>
    <t>1118 Budapest XI. kerület, Törökugrató utca 16 6/24</t>
  </si>
  <si>
    <t>Králik Dóra</t>
  </si>
  <si>
    <t>Végh Lotti Dóra</t>
  </si>
  <si>
    <t>Nádas Dóra</t>
  </si>
  <si>
    <t>nadasdora@gmail.com</t>
  </si>
  <si>
    <t>1012 Budapest I. kerület, Logodi utca 35 1/9</t>
  </si>
  <si>
    <t>dr. Végh-Nádas Dóra</t>
  </si>
  <si>
    <t>Veres-Bester Alíz</t>
  </si>
  <si>
    <t>Fenyvesi Bester Alessandra</t>
  </si>
  <si>
    <t>akosveresmail@gmail.com</t>
  </si>
  <si>
    <t>1118 Budapest XI. kerület, Szittya utca 4 1.em 3.</t>
  </si>
  <si>
    <t>Veres Ákos</t>
  </si>
  <si>
    <t>Vindis Boldizsár</t>
  </si>
  <si>
    <t>Ercsei Gyopár Rózsa</t>
  </si>
  <si>
    <t>ercseigyopar@gmail.com</t>
  </si>
  <si>
    <t xml:space="preserve">1212 Budapest, Szatmári utca 28 </t>
  </si>
  <si>
    <t>Gyopár Vindis-Ercsei</t>
  </si>
  <si>
    <t>Wachter Janka</t>
  </si>
  <si>
    <t>Kozma Petra Orsolya</t>
  </si>
  <si>
    <t>petra.o.kozma@gmail.com</t>
  </si>
  <si>
    <t>1122 Budapest XII. kerület, Szamos utca 5. 3/1.</t>
  </si>
  <si>
    <t>Wagner Amélia Léna</t>
  </si>
  <si>
    <t>Dr. Wagner Ildikó</t>
  </si>
  <si>
    <t>wagnerugyved@gmail.com</t>
  </si>
  <si>
    <t xml:space="preserve">1037 Budapest III. kerület, Seregély utca 7/1. </t>
  </si>
  <si>
    <t>Dr. Wagner Ádám</t>
  </si>
  <si>
    <t>WANG ZHIXIN</t>
  </si>
  <si>
    <t>Shanghai</t>
  </si>
  <si>
    <t>TIANMIN</t>
  </si>
  <si>
    <t>bp311521@gmail.com</t>
  </si>
  <si>
    <t>1037 Budapest, Jeles utca 199-205 B/2</t>
  </si>
  <si>
    <t>Wilheim Szonja</t>
  </si>
  <si>
    <t>Dobos Gabriella</t>
  </si>
  <si>
    <t>gabriella.dobos0416@gmail.com</t>
  </si>
  <si>
    <t>1118 Budapest XI. kerület, Somlói út 31 1/3</t>
  </si>
  <si>
    <t>Wolf Botond</t>
  </si>
  <si>
    <t>Szép Katalin</t>
  </si>
  <si>
    <t>katalinszep@yahoo.com</t>
  </si>
  <si>
    <t>1111 Budapest XI. kerület, Bertalan Lajos utca 26 4 em. 5</t>
  </si>
  <si>
    <t xml:space="preserve">1221 Budapest XXII. kerület, Jobbágy út 15b </t>
  </si>
  <si>
    <t>Wolf Levente</t>
  </si>
  <si>
    <t>1111 Budapest XI. kerület, Bertalan Lajos  utca 26 4 em. 5</t>
  </si>
  <si>
    <t xml:space="preserve">1221 Budapest XXII. kerület, Jobbágy  utca 15b </t>
  </si>
  <si>
    <t>Zafeiris Szofi</t>
  </si>
  <si>
    <t>Lázár Anna Kinga</t>
  </si>
  <si>
    <t>anna.lazar@gmail.com</t>
  </si>
  <si>
    <t>1121 Budapest XII. kerület, Eötvös út 47-49 G lph 1. em 8</t>
  </si>
  <si>
    <t>Zafeiris Anna</t>
  </si>
  <si>
    <t>1126 Budapest XII. kerület, Ugocsa  utca 5 5. em 7</t>
  </si>
  <si>
    <t>Zakár András</t>
  </si>
  <si>
    <t>Kovács Kinga</t>
  </si>
  <si>
    <t>zakarzoltan4@gmail.com</t>
  </si>
  <si>
    <t xml:space="preserve">1046 Budapest IV. kerület, Hárfa  utca 16 </t>
  </si>
  <si>
    <t>Zakár Zoltán</t>
  </si>
  <si>
    <t>Újpesti Bajza József Általános Iskola</t>
  </si>
  <si>
    <t>zhuo yunye</t>
  </si>
  <si>
    <t>zheng ye</t>
  </si>
  <si>
    <t>77066144@qq.com</t>
  </si>
  <si>
    <t>1112 Budapest XI. kerület, felső határ utca 4 A402</t>
  </si>
  <si>
    <t>zhengye</t>
  </si>
  <si>
    <t>Zolnai Szofi Lelle</t>
  </si>
  <si>
    <t>Szabó Vanda</t>
  </si>
  <si>
    <t>szabo.vanda7@gmail.com</t>
  </si>
  <si>
    <t>1135 Budapest XIII. kerület, Jász utca 55/B 3/1.</t>
  </si>
  <si>
    <t>Városligeti Magyar-Angol Két Tanítási Nyelvű Általános Iskola</t>
  </si>
  <si>
    <t>Zoltán-Nagy Emese</t>
  </si>
  <si>
    <t>Nagy Borbála Réka</t>
  </si>
  <si>
    <t>nagybreka@gmail.com</t>
  </si>
  <si>
    <t>1113 Budapest XI. kerület, Csetneki utca 11 1. emelet 1. ajtó</t>
  </si>
  <si>
    <t>Zongor Barbara</t>
  </si>
  <si>
    <t>Nagy Judit Katalin</t>
  </si>
  <si>
    <t>zongor.attila@gmail.com</t>
  </si>
  <si>
    <t>1027 Budapest II. kerület, Bem rakpart 30 3. em. 21. aj.</t>
  </si>
  <si>
    <t>Zongor Attila</t>
  </si>
  <si>
    <t>1027 Budapest II. kerület, Bem rakpart 30 1. em. 3. aj.</t>
  </si>
  <si>
    <t>Zongor Máté</t>
  </si>
  <si>
    <t>1027 Budapest II. kerület, Bem  rakpart 30 3. em. 21. aj.</t>
  </si>
  <si>
    <t>1027 Budapest II. kerület, Bem  rakpart 30 1. em. 3. aj.</t>
  </si>
  <si>
    <t>Zsohár Abigél</t>
  </si>
  <si>
    <t>Soltész Rita</t>
  </si>
  <si>
    <t>ritu.soltesz@gmail.com</t>
  </si>
  <si>
    <t>1133 Budapest XIII. kerület, Kárpát utca 52 10/46.</t>
  </si>
  <si>
    <t>1134 Budapest XIII. kerület, Kassák Lajos utca 58-60/A 8/2.</t>
  </si>
  <si>
    <t>horvát népismeret</t>
  </si>
  <si>
    <t>mozgás és testnevelés</t>
  </si>
  <si>
    <t>német népismeret</t>
  </si>
  <si>
    <t>olasz nyelv</t>
  </si>
  <si>
    <t>zene</t>
  </si>
  <si>
    <t>034966</t>
  </si>
  <si>
    <t>035360</t>
  </si>
  <si>
    <t>037738</t>
  </si>
  <si>
    <t>034942</t>
  </si>
  <si>
    <t>034829</t>
  </si>
  <si>
    <t>035006</t>
  </si>
  <si>
    <t>037744</t>
  </si>
  <si>
    <t>032444</t>
  </si>
  <si>
    <t>035264</t>
  </si>
  <si>
    <t>034791</t>
  </si>
  <si>
    <t>034976</t>
  </si>
  <si>
    <t>034980</t>
  </si>
  <si>
    <t>034885</t>
  </si>
  <si>
    <t>037737</t>
  </si>
  <si>
    <t>034886</t>
  </si>
  <si>
    <t>034997</t>
  </si>
  <si>
    <t>034830</t>
  </si>
  <si>
    <t>034799</t>
  </si>
  <si>
    <t>035199</t>
  </si>
  <si>
    <t>032445</t>
  </si>
  <si>
    <t>203332</t>
  </si>
  <si>
    <t>035023</t>
  </si>
  <si>
    <t>035057</t>
  </si>
  <si>
    <t>035191</t>
  </si>
  <si>
    <t>102587</t>
  </si>
  <si>
    <t>034812</t>
  </si>
  <si>
    <t>034837</t>
  </si>
  <si>
    <t>035051</t>
  </si>
  <si>
    <t>035095</t>
  </si>
  <si>
    <t>034803</t>
  </si>
  <si>
    <t>034936</t>
  </si>
  <si>
    <t>034999</t>
  </si>
  <si>
    <t>034897</t>
  </si>
  <si>
    <t>035310</t>
  </si>
  <si>
    <t>032443</t>
  </si>
  <si>
    <t>034802</t>
  </si>
  <si>
    <t>034978</t>
  </si>
  <si>
    <t>035328</t>
  </si>
  <si>
    <t>034889</t>
  </si>
  <si>
    <t>064887</t>
  </si>
  <si>
    <t>034984</t>
  </si>
  <si>
    <t>035289</t>
  </si>
  <si>
    <t>035361</t>
  </si>
  <si>
    <t>032395</t>
  </si>
  <si>
    <t>035061</t>
  </si>
  <si>
    <t>038948</t>
  </si>
  <si>
    <t>030136</t>
  </si>
  <si>
    <t>203452</t>
  </si>
  <si>
    <t>lexviktoria@gmail.com</t>
  </si>
  <si>
    <t>ildiko.becze.s@gmail.com</t>
  </si>
  <si>
    <t>csilla.istella@gmail.com</t>
  </si>
  <si>
    <t>zs.kispal@gmail.com</t>
  </si>
  <si>
    <t>kovacs.balazs22@gmail.com</t>
  </si>
  <si>
    <t>vuvuka@gmail.com</t>
  </si>
  <si>
    <t>klara.verebelyi@gmail.com</t>
  </si>
  <si>
    <t>erenata.pocsi@gmail.com</t>
  </si>
  <si>
    <t>SheetRow</t>
  </si>
  <si>
    <t>MailTo</t>
  </si>
  <si>
    <t>ErrNumber</t>
  </si>
  <si>
    <t>ErrDescription</t>
  </si>
  <si>
    <t>Time</t>
  </si>
  <si>
    <t>Iktsz</t>
  </si>
  <si>
    <t>Step</t>
  </si>
  <si>
    <t>Message</t>
  </si>
  <si>
    <t>User</t>
  </si>
  <si>
    <t>levente.foldesi@gmail.com</t>
  </si>
  <si>
    <t>gregor.rita@gmail.com</t>
  </si>
  <si>
    <t>susansandor@yahoo.com </t>
  </si>
  <si>
    <t>bobaly.eni@gmail.com </t>
  </si>
  <si>
    <t>tanar.teszt</t>
  </si>
  <si>
    <t>TemplateCopy</t>
  </si>
  <si>
    <t>Copied template to C:\Users\TANAR~1.TES\AppData\Local\Temp\temp_template.oft</t>
  </si>
  <si>
    <t>DebugValues</t>
  </si>
  <si>
    <t>CreateItem</t>
  </si>
  <si>
    <t>OK attempt 1</t>
  </si>
  <si>
    <t>Body</t>
  </si>
  <si>
    <t>HTMLBody len=47684</t>
  </si>
  <si>
    <t>SetBody</t>
  </si>
  <si>
    <t>Subject</t>
  </si>
  <si>
    <t>OK</t>
  </si>
  <si>
    <t>SetTo</t>
  </si>
  <si>
    <t>Send</t>
  </si>
  <si>
    <t>Timestamp</t>
  </si>
  <si>
    <t>Committee</t>
  </si>
  <si>
    <t>DateLabel</t>
  </si>
  <si>
    <t>Pages</t>
  </si>
  <si>
    <t>FilePath</t>
  </si>
  <si>
    <t>Status</t>
  </si>
  <si>
    <t>2026-03-06_0900</t>
  </si>
  <si>
    <t>\\NS2\Felvételi\Data\Pontozo\8\8_2026-03-06_0900.docx</t>
  </si>
  <si>
    <t>2026-03-04_1430</t>
  </si>
  <si>
    <t>\\NS2\Felvételi\Data\Pontozo\1\1_2026-03-04_1430.docx</t>
  </si>
  <si>
    <t>2026-03-04_1515</t>
  </si>
  <si>
    <t>\\NS2\Felvételi\Data\Pontozo\1\1_2026-03-04_1515.docx</t>
  </si>
  <si>
    <t>\\NS2\Felvételi\Data\Pontozo\1\1_2026-03-06_0900.docx</t>
  </si>
  <si>
    <t>\\NS2\Felvételi\Data\Pontozo\2\2_2026-03-06_0900.docx</t>
  </si>
  <si>
    <t>\\NS2\Felvételi\Data\Pontozo\7\7_2026-03-06_0900.docx</t>
  </si>
  <si>
    <t>\\NS2\Felvételi\Data\Pontozo\3\3_2026-03-06_0900.docx</t>
  </si>
  <si>
    <t>\\NS2\Felvételi\Data\Pontozo\4\4_2026-03-06_0900.docx</t>
  </si>
  <si>
    <t>\\NS2\Felvételi\Data\Pontozo\5\5_2026-03-06_0900.docx</t>
  </si>
  <si>
    <t>\\NS2\Felvételi\Data\Pontozo\6\6_2026-03-06_0900.docx</t>
  </si>
  <si>
    <t>2026-03-17_1430</t>
  </si>
  <si>
    <t>\\NS2\Felvételi\Data\Pontozo\1\1_2026-03-17_1430.docx</t>
  </si>
  <si>
    <t>2026-03-10_1430</t>
  </si>
  <si>
    <t>\\NS2\Felvételi\Data\Pontozo\1\1_2026-03-10_1430.docx</t>
  </si>
  <si>
    <t>\\NS2\Felvételi\Data\Pontozo\9\9_2026-03-06_0900.docx</t>
  </si>
  <si>
    <t>2026-03-06_0945</t>
  </si>
  <si>
    <t>\\NS2\Felvételi\Data\Pontozo\1\1_2026-03-06_0945.docx</t>
  </si>
  <si>
    <t>\\NS2\Felvételi\Data\Pontozo\2\2_2026-03-06_0945.docx</t>
  </si>
  <si>
    <t>NoCommittee</t>
  </si>
  <si>
    <t>no_date</t>
  </si>
  <si>
    <t>ERROR</t>
  </si>
  <si>
    <t>Err#: 4608 - Az érték kívül esik a megengedett tartományon</t>
  </si>
  <si>
    <t>\\NS2\Felvételi\Data\Pontozo\3\3_2026-03-06_0945.docx</t>
  </si>
  <si>
    <t>\\NS2\Felvételi\Data\Pontozo\5\5_2026-03-06_0945.docx</t>
  </si>
  <si>
    <t>\\NS2\Felvételi\Data\Pontozo\4\4_2026-03-06_0945.docx</t>
  </si>
  <si>
    <t>\\NS2\Felvételi\Data\Pontozo\6\6_2026-03-06_0945.docx</t>
  </si>
  <si>
    <t>\\NS2\Felvételi\Data\Pontozo\7\7_2026-03-06_0945.docx</t>
  </si>
  <si>
    <t>\\NS2\Felvételi\Data\Pontozo\8\8_2026-03-06_0945.docx</t>
  </si>
  <si>
    <t>\\NS2\Felvételi\Data\Pontozo\9\9_2026-03-06_0945.docx</t>
  </si>
  <si>
    <t>2026-03-06_1030</t>
  </si>
  <si>
    <t>\\NS2\Felvételi\Data\Pontozo\7\7_2026-03-06_1030.docx</t>
  </si>
  <si>
    <t>\\NS2\Felvételi\Data\Pontozo\1\1_2026-03-06_1030.docx</t>
  </si>
  <si>
    <t>\\NS2\Felvételi\Data\Pontozo\2\2_2026-03-06_1030.docx</t>
  </si>
  <si>
    <t>\\NS2\Felvételi\Data\Pontozo\3\3_2026-03-06_1030.docx</t>
  </si>
  <si>
    <t>\\NS2\Felvételi\Data\Pontozo\4\4_2026-03-06_1030.docx</t>
  </si>
  <si>
    <t>\\NS2\Felvételi\Data\Pontozo\2\2_2026-03-17_1430.docx</t>
  </si>
  <si>
    <t>\\NS2\Felvételi\Data\Pontozo\5\5_2026-03-06_1030.docx</t>
  </si>
  <si>
    <t>\\NS2\Felvételi\Data\Pontozo\6\6_2026-03-06_1030.docx</t>
  </si>
  <si>
    <t>\\NS2\Felvételi\Data\Pontozo\8\8_2026-03-06_1030.docx</t>
  </si>
  <si>
    <t>\\NS2\Felvételi\Data\Pontozo\9\9_2026-03-06_1030.docx</t>
  </si>
  <si>
    <t>2026-03-06_1145</t>
  </si>
  <si>
    <t>\\NS2\Felvételi\Data\Pontozo\1\1_2026-03-06_1145.docx</t>
  </si>
  <si>
    <t>\\NS2\Felvételi\Data\Pontozo\2\2_2026-03-06_1145.docx</t>
  </si>
  <si>
    <t>\\NS2\Felvételi\Data\Pontozo\3\3_2026-03-06_1145.docx</t>
  </si>
  <si>
    <t>\\NS2\Felvételi\Data\Pontozo\4\4_2026-03-06_1145.docx</t>
  </si>
  <si>
    <t>\\NS2\Felvételi\Data\Pontozo\5\5_2026-03-06_1145.docx</t>
  </si>
  <si>
    <t>\\NS2\Felvételi\Data\Pontozo\6\6_2026-03-06_1145.docx</t>
  </si>
  <si>
    <t>\\NS2\Felvételi\Data\Pontozo\7\7_2026-03-06_1145.docx</t>
  </si>
  <si>
    <t>\\NS2\Felvételi\Data\Pontozo\8\8_2026-03-06_1145.docx</t>
  </si>
  <si>
    <t>\\NS2\Felvételi\Data\Pontozo\9\9_2026-03-06_1145.docx</t>
  </si>
  <si>
    <t>2026-03-06_1215</t>
  </si>
  <si>
    <t>\\NS2\Felvételi\Data\Pontozo\1\1_2026-03-06_1215.docx</t>
  </si>
  <si>
    <t>\\NS2\Felvételi\Data\Pontozo\2\2_2026-03-06_1215.docx</t>
  </si>
  <si>
    <t>\\NS2\Felvételi\Data\Pontozo\3\3_2026-03-06_1215.docx</t>
  </si>
  <si>
    <t>\\NS2\Felvételi\Data\Pontozo\9\9_2026-03-06_1215.docx</t>
  </si>
  <si>
    <t>\\NS2\Felvételi\Data\Pontozo\4\4_2026-03-06_1215.docx</t>
  </si>
  <si>
    <t>\\NS2\Felvételi\Data\Pontozo\7\7_2026-03-06_1215.docx</t>
  </si>
  <si>
    <t>\\NS2\Felvételi\Data\Pontozo\5\5_2026-03-06_1215.docx</t>
  </si>
  <si>
    <t>\\NS2\Felvételi\Data\Pontozo\6\6_2026-03-06_1215.docx</t>
  </si>
  <si>
    <t>\\NS2\Felvételi\Data\Pontozo\8\8_2026-03-06_1215.docx</t>
  </si>
  <si>
    <t>\\NS2\Felvételi\Data\Pontozo\2\2_2026-03-10_1430.docx</t>
  </si>
  <si>
    <t>2026-03-10_1500</t>
  </si>
  <si>
    <t>\\NS2\Felvételi\Data\Pontozo\1\1_2026-03-10_1500.docx</t>
  </si>
  <si>
    <t>\\NS2\Felvételi\Data\Pontozo\2\2_2026-03-10_1500.docx</t>
  </si>
  <si>
    <t>2026-03-12_1430</t>
  </si>
  <si>
    <t>\\NS2\Felvételi\Data\Pontozo\1\1_2026-03-12_1430.docx</t>
  </si>
  <si>
    <t>2026-03-12_1500</t>
  </si>
  <si>
    <t>\\NS2\Felvételi\Data\Pontozo\1\1_2026-03-12_1500.docx</t>
  </si>
  <si>
    <t>GroupKey</t>
  </si>
  <si>
    <t>Count</t>
  </si>
  <si>
    <t>Names</t>
  </si>
  <si>
    <t>8||2026-03-06_0900</t>
  </si>
  <si>
    <t xml:space="preserve">Ajtai Léna Laura; Buza-Kiss Szófia; Cochior Laura Maya; Czettele  Mihály; </t>
  </si>
  <si>
    <t>1||2026-03-04_1430</t>
  </si>
  <si>
    <t xml:space="preserve">Árok Emma; B Nagy Mirjam Róza; Bacskai Hanna; Balázs Bodza Zsóka; </t>
  </si>
  <si>
    <t>1||2026-03-04_1515</t>
  </si>
  <si>
    <t xml:space="preserve">Balázs Léna; Balázs-Domokos Emma; Bálint Júlia Anna; Zsohár Abigél; </t>
  </si>
  <si>
    <t>1||2026-03-06_0900</t>
  </si>
  <si>
    <t xml:space="preserve">Bálint Kinga Klára; Balkányi Csaba; Ballai Zalán; Balogh Bende Richárd; </t>
  </si>
  <si>
    <t>2||2026-03-06_0900</t>
  </si>
  <si>
    <t xml:space="preserve">Baranyi Léda Hanna; Bardócz Csilla Száva; Bartos Lilla Márta; Bátori Ádám; </t>
  </si>
  <si>
    <t>7||2026-03-06_0900</t>
  </si>
  <si>
    <t xml:space="preserve">Becze Ambrus; Bruschi Cherie Anais; Buczi Gábor; Budai András; </t>
  </si>
  <si>
    <t>3||2026-03-06_0900</t>
  </si>
  <si>
    <t xml:space="preserve">Beke Boldizsár; Bellák Maxim Alex; Bencsik Janka; Benedek Kiara Gréta; </t>
  </si>
  <si>
    <t>4||2026-03-06_0900</t>
  </si>
  <si>
    <t xml:space="preserve">Benedicty László Balázs; Bérczy Léna; Berecz Ábel; Berkeczi Rózsa; </t>
  </si>
  <si>
    <t>5||2026-03-06_0900</t>
  </si>
  <si>
    <t xml:space="preserve">Bernáth Filip Máté; Bihari Vencel; Blága Péter; Bognár Rebeka Sára; </t>
  </si>
  <si>
    <t>6||2026-03-06_0900</t>
  </si>
  <si>
    <t xml:space="preserve">Boja Attila; Bojtár Anna; Böcskei András Marcell; Hudoba Zselyke Boglárka; </t>
  </si>
  <si>
    <t>1||2026-03-17_1430</t>
  </si>
  <si>
    <t xml:space="preserve">Borbély Abigél Mici; Földesi Marcell; Hajdu-Gregor Barnabás; Zongor Barbara; </t>
  </si>
  <si>
    <t>1||2026-03-10_1430</t>
  </si>
  <si>
    <t xml:space="preserve">Csanádi Barnabás; ILLÉS ESZTER; Szentes Júlia; Tóth Vencel; </t>
  </si>
  <si>
    <t>9||2026-03-06_0900</t>
  </si>
  <si>
    <t xml:space="preserve">Csatai-Csapanszkij Konrád; Cservölgyi Filemon; Csetényi Aporka; Gurbán Benedek; </t>
  </si>
  <si>
    <t>1||2026-03-06_0945</t>
  </si>
  <si>
    <t xml:space="preserve">Dági Zselyke; Dárdai Gergely; Deák Botond; Dékány Izabella; </t>
  </si>
  <si>
    <t>2||2026-03-06_0945</t>
  </si>
  <si>
    <t xml:space="preserve">Dénes Zengő; Dömötöri Anna Mirjána; Dubéczi-Nagy Lotti; Elek Samu; </t>
  </si>
  <si>
    <t>||no_date</t>
  </si>
  <si>
    <t xml:space="preserve">Dolfini Mira Rose; Fogarasi Viktória; Hauck Eliza; Hegedüs Ábel; Hegedüs-Nagy Adrienn; Heitmann Martin Johann; Horváth Máté Huba; Kalaus Vilmos Leó; Keserű Tamara Alexandra; Kiss-György Csongor Buda; Kozma Ajnácska Liliom; Kunfalvi Mira Zsófia; Liu Sihan; Machon Kinga Kitti; Makai Dóra; Mánya Zsófia Borka; Mohai Máté; Molnár Emma; Nayof Mateo; Nyári Nóra; P.Fülöp Olivér; Pertl Vilmos; Pető Dániel Ádám; Rádosi Romina Liza; Risko András; Schay Benedek; Szalai Gergő Máté; Valuska Marcell; Zakár András; </t>
  </si>
  <si>
    <t>3||2026-03-06_0945</t>
  </si>
  <si>
    <t xml:space="preserve">Endrődi Dániel; Enyedi Adél Emma; Esztergályos Rozi; Fábián Bence; </t>
  </si>
  <si>
    <t>5||2026-03-06_0945</t>
  </si>
  <si>
    <t xml:space="preserve">Farkas András; Frey Kolos Attila; Gál Nándor; Gyarmati Máté István; </t>
  </si>
  <si>
    <t>4||2026-03-06_0945</t>
  </si>
  <si>
    <t xml:space="preserve">Farkas Gergely; Farkas Lola Magdolna; Földi Ádám; Földi Júlia; </t>
  </si>
  <si>
    <t>6||2026-03-06_0945</t>
  </si>
  <si>
    <t xml:space="preserve">Gál Hanna; Galaczi Nóra; Gattoni Marcello; Gombocz Bercel; </t>
  </si>
  <si>
    <t>7||2026-03-06_0945</t>
  </si>
  <si>
    <t xml:space="preserve">Hámori Bori; Hamrák Anna; Hanczár Ilka Erzsébet; Isépy Barnabás; </t>
  </si>
  <si>
    <t>8||2026-03-06_0945</t>
  </si>
  <si>
    <t xml:space="preserve">Hauser Lili; Héder Félix; Hegedüs Gergő; Jáger Bálint; </t>
  </si>
  <si>
    <t>9||2026-03-06_0945</t>
  </si>
  <si>
    <t xml:space="preserve">Heitmann Ádám József; Héjja Boldizsár; Horváth Leó; Hubai Mátyás Krisztián; </t>
  </si>
  <si>
    <t>7||2026-03-06_1030</t>
  </si>
  <si>
    <t xml:space="preserve">Homan David; Kuti-Hancz Péter; Lasztovicza Dávid; Lázár Balázs; </t>
  </si>
  <si>
    <t>1||2026-03-06_1030</t>
  </si>
  <si>
    <t xml:space="preserve">Juhász Natasa Katrina; Kati Júlia; Kecskés Dániel; Kerkai Iván Tamás; </t>
  </si>
  <si>
    <t>2||2026-03-06_1030</t>
  </si>
  <si>
    <t xml:space="preserve">Keszei Soma; Kézsmárki Málna Zsófia; Király Ádám; Kiss Lien Linda; </t>
  </si>
  <si>
    <t>3||2026-03-06_1030</t>
  </si>
  <si>
    <t xml:space="preserve">Kiss Péter István; Kiss Zsófia Borka; Kisteleki Mór; Kokas Botond Balázs; </t>
  </si>
  <si>
    <t>4||2026-03-06_1030</t>
  </si>
  <si>
    <t xml:space="preserve">Komjáthy Lóránt; Koncz Johanna; Kóródi Ádám Zalán; Kósi Marcell; </t>
  </si>
  <si>
    <t>2||2026-03-17_1430</t>
  </si>
  <si>
    <t xml:space="preserve">Koscsó Zsuzsa; Szabó Letícia Anna; WANG ZHIXIN; Zongor Máté; </t>
  </si>
  <si>
    <t>5||2026-03-06_1030</t>
  </si>
  <si>
    <t xml:space="preserve">Kovács Botond; Kovács Marcell; Kovács Móric; Kovács-Almási Benedek; </t>
  </si>
  <si>
    <t>6||2026-03-06_1030</t>
  </si>
  <si>
    <t xml:space="preserve">Kovács-Fiskus Milán; Kölcsey-Gyurkó Lukács; Krajcsák Tamás; Krébesz Natasa; </t>
  </si>
  <si>
    <t>8||2026-03-06_1030</t>
  </si>
  <si>
    <t xml:space="preserve">Leányvári Regő Bendegúz; Lőrincz Jakab; Ludmány Ludovika; Ludmány Sára Viola; </t>
  </si>
  <si>
    <t>9||2026-03-06_1030</t>
  </si>
  <si>
    <t xml:space="preserve">Lukáts Mátyás; Madar Tamás László; Máhl Regina; Novák Ádám; </t>
  </si>
  <si>
    <t>1||2026-03-06_1145</t>
  </si>
  <si>
    <t xml:space="preserve">Marcedula Annabella; Márkus Márk; Máthé Júlia Zita; Medveczki Eszter Virág; </t>
  </si>
  <si>
    <t>2||2026-03-06_1145</t>
  </si>
  <si>
    <t xml:space="preserve">Melha Dorottya; Mihalkó-Nagy Boldizsár; Mika Laura Ágnes; Mukhamadeev Iasmina; </t>
  </si>
  <si>
    <t>3||2026-03-06_1145</t>
  </si>
  <si>
    <t xml:space="preserve">Nádas Olivér; Nádudvari Júlia Márta; Nagy Franciska Léna; Nagy Viktória; </t>
  </si>
  <si>
    <t>4||2026-03-06_1145</t>
  </si>
  <si>
    <t xml:space="preserve">Nagy-Rácz Liza; Nagy-Varga Hunor; Nemes Andor; Németh Domonkos; </t>
  </si>
  <si>
    <t>5||2026-03-06_1145</t>
  </si>
  <si>
    <t xml:space="preserve">Németh Korina; Németh Levente; Nyári Emma; Orbán-Kiss Donát; </t>
  </si>
  <si>
    <t>6||2026-03-06_1145</t>
  </si>
  <si>
    <t xml:space="preserve">Pálfi Mária Róza; Pap Benedek Álmos; Papp Emese; Papp Liza; </t>
  </si>
  <si>
    <t>7||2026-03-06_1145</t>
  </si>
  <si>
    <t xml:space="preserve">Pásztor Dániel Dezső; Pavlics Anna Léna; Péter Lilla; Pozsgai Hanga; </t>
  </si>
  <si>
    <t>8||2026-03-06_1145</t>
  </si>
  <si>
    <t xml:space="preserve">Petrik Anna; Petrov Ferdinánd; Posztobányi Kálmán Borisz; Pőcze Júlia; </t>
  </si>
  <si>
    <t>9||2026-03-06_1145</t>
  </si>
  <si>
    <t xml:space="preserve">Puhle Benjámin; Rácz-Terstyánszky Sára; Recsnik-Bosch Zoé; Tóth Mátyás Attila; </t>
  </si>
  <si>
    <t>1||2026-03-06_1215</t>
  </si>
  <si>
    <t xml:space="preserve">Réti Réka Renáta; Ruthner Brúnó; Sámi Borbála; Sárvári Félix Balázs; </t>
  </si>
  <si>
    <t>2||2026-03-06_1215</t>
  </si>
  <si>
    <t xml:space="preserve">Schiffer Barnabás; SCHNEIDER SÁMUEL; Sebestyén Máté; Seres Marcel; </t>
  </si>
  <si>
    <t>3||2026-03-06_1215</t>
  </si>
  <si>
    <t xml:space="preserve">Simon Lilla Zsófia; Sipos-Cserjési Horka; Sisak Luca Száva; Sólyom Lili; </t>
  </si>
  <si>
    <t>9||2026-03-06_1215</t>
  </si>
  <si>
    <t xml:space="preserve">Sinóros-Szabó Noé; Tátrai Lilla; Tóth Enikő Sarolta; Varga Eszter; </t>
  </si>
  <si>
    <t>4||2026-03-06_1215</t>
  </si>
  <si>
    <t xml:space="preserve">Somos Róza; Stefkó Anna Szofia; Stock Leó; Szabadházi Laura Ivett; </t>
  </si>
  <si>
    <t>7||2026-03-06_1215</t>
  </si>
  <si>
    <t xml:space="preserve">Sulyok Dániel Milán; Szilágyi Dénes; Szilágyi Lőrinc; Szilvási Bálint; </t>
  </si>
  <si>
    <t>5||2026-03-06_1215</t>
  </si>
  <si>
    <t xml:space="preserve">Szabó Milán; Szabó Nándor Ottó; Szabó Zsófia Kitti; Szabó-Vitéz Elza; </t>
  </si>
  <si>
    <t>6||2026-03-06_1215</t>
  </si>
  <si>
    <t xml:space="preserve">Szász Lili Sára; Szemerédy Boldizsár; Szenczi Dávid; Szentpéteri Szonja; </t>
  </si>
  <si>
    <t>8||2026-03-06_1215</t>
  </si>
  <si>
    <t xml:space="preserve">Szilágyi Janka; Szopkó Dániel; Tatár Miksa; Tatár Miléna Sára; </t>
  </si>
  <si>
    <t>2||2026-03-10_1430</t>
  </si>
  <si>
    <t xml:space="preserve">Tölgyesi Kinga; Trencséni-Kovács Eliot; Ungár Bertold; Varga Dénes; </t>
  </si>
  <si>
    <t>1||2026-03-10_1500</t>
  </si>
  <si>
    <t xml:space="preserve">Varga-Perke Vince; Várkonyi Bátor; Várkonyi Dániel; Vass Oszkár Dániel; </t>
  </si>
  <si>
    <t>2||2026-03-10_1500</t>
  </si>
  <si>
    <t xml:space="preserve">Végh Lotti Dóra; Veres-Bester Alíz; Vindis Boldizsár; Wachter Janka; </t>
  </si>
  <si>
    <t>1||2026-03-12_1430</t>
  </si>
  <si>
    <t xml:space="preserve">Wagner Amélia Léna; Wilheim Szonja; Wolf Botond; Zafeiris Szofi; </t>
  </si>
  <si>
    <t>1||2026-03-12_1500</t>
  </si>
  <si>
    <t xml:space="preserve">Wolf Levente; zhuo yunye; Zolnai Szofi Lelle; Zoltán-Nagy Emese; </t>
  </si>
  <si>
    <t>FillIktsz</t>
  </si>
  <si>
    <t>Assigned</t>
  </si>
  <si>
    <t>ListRowIndex=49; wsRow=50; fnev=Dolfini Mira Rose; iktsz=221; datum=2026-03-17 15:15</t>
  </si>
  <si>
    <t>ListRowIndex=60; wsRow=61; fnev=Fogarasi Viktória; iktsz=222; datum=2026-03-16 14:30</t>
  </si>
  <si>
    <t>ListRowIndex=79; wsRow=80; fnev=Hegedüs Ábel; iktsz=223; datum=2026-03-16 14:30</t>
  </si>
  <si>
    <t>ListRowIndex=81; wsRow=82; fnev=Hegedüs-Nagy Adrienn; iktsz=224; datum=2026-03-16 14:30</t>
  </si>
  <si>
    <t>ListRowIndex=94; wsRow=95; fnev=Kalaus Vilmos Leó; iktsz=225; datum=2026-03-17 15:15</t>
  </si>
  <si>
    <t>ListRowIndex=98; wsRow=99; fnev=Keserű Tamara Alexandra; iktsz=226; datum=2026-03-16 15:15</t>
  </si>
  <si>
    <t>ListRowIndex=105; wsRow=106; fnev=Kiss-György Csongor Buda; iktsz=227; datum=2026-03-16 14:30</t>
  </si>
  <si>
    <t>ListRowIndex=118; wsRow=119; fnev=Kozma Ajnácska Liliom; iktsz=228; datum=2026-03-18 14:30</t>
  </si>
  <si>
    <t>ListRowIndex=136; wsRow=137; fnev=Mánya Zsófia Borka; iktsz=229; datum=2026-03-16 15:15</t>
  </si>
  <si>
    <t>ListRowIndex=144; wsRow=145; fnev=Mohai Máté; iktsz=230; datum=2026-03-16 15:15</t>
  </si>
  <si>
    <t>ListRowIndex=145; wsRow=146; fnev=Molnár Emma; iktsz=231; datum=2026-03-16 15:15</t>
  </si>
  <si>
    <t>ListRowIndex=153; wsRow=154; fnev=Nayof Mateo; iktsz=232; datum=2026-03-17 15:15</t>
  </si>
  <si>
    <t>ListRowIndex=160; wsRow=161; fnev=Nyári Nóra; iktsz=233; datum=2026-03-17 15:15</t>
  </si>
  <si>
    <t>ListRowIndex=171; wsRow=172; fnev=Pető Dániel Ádám; iktsz=234; datum=2026-03-17 15:15</t>
  </si>
  <si>
    <t>ListRowIndex=179; wsRow=180; fnev=Rádosi Romina Liza; iktsz=235; datum=2026-03-17 15:15</t>
  </si>
  <si>
    <t>ListRowIndex=182; wsRow=183; fnev=Risko András; iktsz=236; datum=2026-03-17 15:15</t>
  </si>
  <si>
    <t>ListRowIndex=226; wsRow=227; fnev=Valuska Marcell; iktsz=237; datum=2026-03-17 15:15</t>
  </si>
  <si>
    <t>2026-03-17_1515</t>
  </si>
  <si>
    <t>\\NS2\Felvételi\Data\Pontozo\2\2_2026-03-17_1515.docx</t>
  </si>
  <si>
    <t>2026-03-16_1430</t>
  </si>
  <si>
    <t>\\NS2\Felvételi\Data\Pontozo\1\1_2026-03-16_1430.docx</t>
  </si>
  <si>
    <t>2026-03-16_1515</t>
  </si>
  <si>
    <t>\\NS2\Felvételi\Data\Pontozo\1\1_2026-03-16_1515.docx</t>
  </si>
  <si>
    <t>2026-03-18_1430</t>
  </si>
  <si>
    <t>\\NS2\Felvételi\Data\Pontozo\1\1_2026-03-18_1430.docx</t>
  </si>
  <si>
    <t>\\NS2\Felvételi\Data\Pontozo\1\1_2026-03-17_1515.docx</t>
  </si>
  <si>
    <t>exported</t>
  </si>
  <si>
    <t>AllNames</t>
  </si>
  <si>
    <t>Grader1</t>
  </si>
  <si>
    <t>Grader2</t>
  </si>
  <si>
    <t>Grader3</t>
  </si>
  <si>
    <t>Ajtai Léna Laura; Buza-Kiss Szófia; Cochior Laura Maya; Czettele  Mihály</t>
  </si>
  <si>
    <t>Ajtai Léna Laura; Czettele  Mihály</t>
  </si>
  <si>
    <t>Árok Emma; B Nagy Mirjam Róza; Bacskai Hanna; Balázs Bodza Zsóka</t>
  </si>
  <si>
    <t>Árok Emma; Balázs Bodza Zsóka</t>
  </si>
  <si>
    <t>Balázs Léna; Balázs-Domokos Emma; Bálint Júlia Anna; Zsohár Abigél</t>
  </si>
  <si>
    <t>Balázs Léna; Zsohár Abigél</t>
  </si>
  <si>
    <t>Bálint Kinga Klára; Balkányi Csaba; Ballai Zalán; Balogh Bende Richárd</t>
  </si>
  <si>
    <t>Bálint Kinga Klára; Balogh Bende Richárd</t>
  </si>
  <si>
    <t>Baranyi Léda Hanna; Bardócz Csilla Száva; Bartos Lilla Márta; Bátori Ádám</t>
  </si>
  <si>
    <t>Baranyi Léda Hanna; Bátori Ádám</t>
  </si>
  <si>
    <t>Becze Ambrus; Bruschi Cherie Anais; Buczi Gábor; Budai András</t>
  </si>
  <si>
    <t>Becze Ambrus; Budai András</t>
  </si>
  <si>
    <t>Beke Boldizsár; Bellák Maxim Alex; Bencsik Janka; Benedek Kiara Gréta</t>
  </si>
  <si>
    <t>Beke Boldizsár; Benedek Kiara Gréta</t>
  </si>
  <si>
    <t>Benedicty László Balázs; Bérczy Léna; Berecz Ábel; Berkeczi Rózsa</t>
  </si>
  <si>
    <t>Benedicty László Balázs; Berkeczi Rózsa</t>
  </si>
  <si>
    <t>Bernáth Filip Máté; Bihari Vencel; Blága Péter; Bognár Rebeka Sára</t>
  </si>
  <si>
    <t>Bernáth Filip Máté; Bognár Rebeka Sára</t>
  </si>
  <si>
    <t>Boja Attila; Bojtár Anna; Böcskei András Marcell; Hudoba Zselyke Boglárka</t>
  </si>
  <si>
    <t>Boja Attila; Hudoba Zselyke Boglárka</t>
  </si>
  <si>
    <t>Böcskei András Marcell</t>
  </si>
  <si>
    <t>Borbély Abigél Mici; Földesi Marcell; Hajdu-Gregor Barnabás; Zongor Barbara</t>
  </si>
  <si>
    <t>Borbély Abigél Mici; Zongor Barbara</t>
  </si>
  <si>
    <t>Csanádi Barnabás; ILLÉS ESZTER; Szentes Júlia; Tóth Vencel</t>
  </si>
  <si>
    <t>Csanádi Barnabás; Tóth Vencel</t>
  </si>
  <si>
    <t>Csatai-Csapanszkij Konrád; Cservölgyi Filemon; Csetényi Aporka; Gurbán Benedek</t>
  </si>
  <si>
    <t>Csatai-Csapanszkij Konrád; Gurbán Benedek</t>
  </si>
  <si>
    <t>Cservölgyi Filemon</t>
  </si>
  <si>
    <t>Dági Zselyke; Dárdai Gergely; Deák Botond; Dékány Izabella</t>
  </si>
  <si>
    <t>Dági Zselyke; Dékány Izabella</t>
  </si>
  <si>
    <t>Dénes Zengő; Dömötöri Anna Mirjána; Dubéczi-Nagy Lotti; Elek Samu</t>
  </si>
  <si>
    <t>Dénes Zengő; Elek Samu</t>
  </si>
  <si>
    <t>Dolfini Mira Rose; Kalaus Vilmos Leó; Rádosi Romina Liza; Valuska Marcell</t>
  </si>
  <si>
    <t>Dolfini Mira Rose; Valuska Marcell</t>
  </si>
  <si>
    <t>Endrődi Dániel; Enyedi Adél Emma; Esztergályos Rozi; Fábián Bence</t>
  </si>
  <si>
    <t>Endrődi Dániel; Fábián Bence</t>
  </si>
  <si>
    <t>Farkas András; Frey Kolos Attila; Gál Nándor; Gyarmati Máté István</t>
  </si>
  <si>
    <t>Farkas András; Gyarmati Máté István</t>
  </si>
  <si>
    <t>Farkas Gergely; Farkas Lola Magdolna; Földi Ádám; Földi Júlia</t>
  </si>
  <si>
    <t>Farkas Gergely; Földi Júlia</t>
  </si>
  <si>
    <t>Farkas Lola Magdolna</t>
  </si>
  <si>
    <t>Fogarasi Viktória; Hegedüs Ábel; Hegedüs-Nagy Adrienn; Kiss-György Csongor Buda</t>
  </si>
  <si>
    <t>Fogarasi Viktória; Kiss-György Csongor Buda</t>
  </si>
  <si>
    <t>Gál Hanna; Galaczi Nóra; Gattoni Marcello; Gombocz Bercel</t>
  </si>
  <si>
    <t>Gál Hanna; Gombocz Bercel</t>
  </si>
  <si>
    <t>Hámori Bori; Hamrák Anna; Hanczár Ilka Erzsébet; Isépy Barnabás</t>
  </si>
  <si>
    <t>Hámori Bori; Isépy Barnabás</t>
  </si>
  <si>
    <t>Hauser Lili; Héder Félix; Hegedüs Gergő; Jáger Bálint</t>
  </si>
  <si>
    <t>Hauser Lili; Jáger Bálint</t>
  </si>
  <si>
    <t>Hegedüs Gergő</t>
  </si>
  <si>
    <t>Heitmann Ádám József; Héjja Boldizsár; Horváth Leó; Hubai Mátyás Krisztián</t>
  </si>
  <si>
    <t>Heitmann Ádám József; Hubai Mátyás Krisztián</t>
  </si>
  <si>
    <t>Homan David; Kuti-Hancz Péter; Lasztovicza Dávid; Lázár Balázs</t>
  </si>
  <si>
    <t>Homan David; Lázár Balázs</t>
  </si>
  <si>
    <t>Juhász Natasa Katrina; Kati Júlia; Kecskés Dániel; Kerkai Iván Tamás</t>
  </si>
  <si>
    <t>Juhász Natasa Katrina; Kerkai Iván Tamás</t>
  </si>
  <si>
    <t>Keserű Tamara Alexandra; Mánya Zsófia Borka; Mohai Máté; Molnár Emma</t>
  </si>
  <si>
    <t>Keserű Tamara Alexandra; Molnár Emma</t>
  </si>
  <si>
    <t>Mánya Zsófia Borka</t>
  </si>
  <si>
    <t>Keszei Soma; Kézsmárki Málna Zsófia; Király Ádám; Kiss Lien Linda</t>
  </si>
  <si>
    <t>Keszei Soma; Kiss Lien Linda</t>
  </si>
  <si>
    <t>Kiss Péter István; Kiss Zsófia Borka; Kisteleki Mór; Kokas Botond Balázs</t>
  </si>
  <si>
    <t>Kiss Péter István; Kokas Botond Balázs</t>
  </si>
  <si>
    <t>Komjáthy Lóránt; Koncz Johanna; Kóródi Ádám Zalán; Kósi Marcell</t>
  </si>
  <si>
    <t>Komjáthy Lóránt; Kósi Marcell</t>
  </si>
  <si>
    <t>Koscsó Zsuzsa; Szabó Letícia Anna; WANG ZHIXIN; Zongor Máté</t>
  </si>
  <si>
    <t>Koscsó Zsuzsa; Zongor Máté</t>
  </si>
  <si>
    <t>Kovács Botond; Kovács Marcell; Kovács Móric; Kovács-Almási Benedek</t>
  </si>
  <si>
    <t>Kovács Botond; Kovács-Almási Benedek</t>
  </si>
  <si>
    <t>Kovács-Fiskus Milán; Kölcsey-Gyurkó Lukács; Krajcsák Tamás; Krébesz Natasa</t>
  </si>
  <si>
    <t>Kovács-Fiskus Milán; Krébesz Natasa</t>
  </si>
  <si>
    <t>Leányvári Regő Bendegúz; Lőrincz Jakab; Ludmány Ludovika; Ludmány Sára Viola</t>
  </si>
  <si>
    <t>Leányvári Regő Bendegúz; Ludmány Sára Viola</t>
  </si>
  <si>
    <t>Lukáts Mátyás; Madar Tamás László; Máhl Regina; Novák Ádám</t>
  </si>
  <si>
    <t>Lukáts Mátyás; Novák Ádám</t>
  </si>
  <si>
    <t>Marcedula Annabella; Márkus Márk; Máthé Júlia Zita; Medveczki Eszter Virág</t>
  </si>
  <si>
    <t>Marcedula Annabella; Medveczki Eszter Virág</t>
  </si>
  <si>
    <t>Melha Dorottya; Mihalkó-Nagy Boldizsár; Mika Laura Ágnes; Mukhamadeev Iasmina</t>
  </si>
  <si>
    <t>Melha Dorottya; Mukhamadeev Iasmina</t>
  </si>
  <si>
    <t>Nádas Olivér; Nádudvari Júlia Márta; Nagy Franciska Léna; Nagy Viktória</t>
  </si>
  <si>
    <t>Nádas Olivér; Nagy Viktória</t>
  </si>
  <si>
    <t>Nagy-Rácz Liza; Nagy-Varga Hunor; Nemes Andor; Németh Domonkos</t>
  </si>
  <si>
    <t>Nagy-Rácz Liza; Németh Domonkos</t>
  </si>
  <si>
    <t>Nayof Mateo; Nyári Nóra; Pető Dániel Ádám; Risko András</t>
  </si>
  <si>
    <t>Nayof Mateo; Risko András</t>
  </si>
  <si>
    <t>Németh Korina; Németh Levente; Nyári Emma; Orbán-Kiss Donát</t>
  </si>
  <si>
    <t>Németh Korina; Orbán-Kiss Donát</t>
  </si>
  <si>
    <t>Pálfi Mária Róza; Pap Benedek Álmos; Papp Emese; Papp Liza</t>
  </si>
  <si>
    <t>Pálfi Mária Róza; Papp Liza</t>
  </si>
  <si>
    <t>Pásztor Dániel Dezső; Pavlics Anna Léna; Péter Lilla; Pozsgai Hanga</t>
  </si>
  <si>
    <t>Pásztor Dániel Dezső; Pozsgai Hanga</t>
  </si>
  <si>
    <t>Petrik Anna; Petrov Ferdinánd; Posztobányi Kálmán Borisz; Pőcze Júlia</t>
  </si>
  <si>
    <t>Petrik Anna; Pőcze Júlia</t>
  </si>
  <si>
    <t>Puhle Benjámin; Rácz-Terstyánszky Sára; Recsnik-Bosch Zoé; Tóth Mátyás Attila</t>
  </si>
  <si>
    <t>Puhle Benjámin; Tóth Mátyás Attila</t>
  </si>
  <si>
    <t>Réti Réka Renáta; Ruthner Brúnó; Sámi Borbála; Sárvári Félix Balázs</t>
  </si>
  <si>
    <t>Réti Réka Renáta; Sárvári Félix Balázs</t>
  </si>
  <si>
    <t>Schiffer Barnabás; SCHNEIDER SÁMUEL; Sebestyén Máté; Seres Marcel</t>
  </si>
  <si>
    <t>Schiffer Barnabás; Seres Marcel</t>
  </si>
  <si>
    <t>Sebestyén Máté</t>
  </si>
  <si>
    <t>Simon Lilla Zsófia; Sipos-Cserjési Horka; Sisak Luca Száva; Sólyom Lili</t>
  </si>
  <si>
    <t>Simon Lilla Zsófia; Sólyom Lili</t>
  </si>
  <si>
    <t>Sinóros-Szabó Noé; Tátrai Lilla; Tóth Enikő Sarolta; Varga Eszter</t>
  </si>
  <si>
    <t>Sinóros-Szabó Noé; Varga Eszter</t>
  </si>
  <si>
    <t>Somos Róza; Stefkó Anna Szofia; Stock Leó; Szabadházi Laura Ivett</t>
  </si>
  <si>
    <t>Somos Róza; Szabadházi Laura Ivett</t>
  </si>
  <si>
    <t>Sulyok Dániel Milán; Szilágyi Dénes; Szilágyi Lőrinc; Szilvási Bálint</t>
  </si>
  <si>
    <t>Sulyok Dániel Milán; Szilvási Bálint</t>
  </si>
  <si>
    <t>Szabó Milán; Szabó Nándor Ottó; Szabó Zsófia Kitti; Szabó-Vitéz Elza</t>
  </si>
  <si>
    <t>Szabó Milán; Szabó-Vitéz Elza</t>
  </si>
  <si>
    <t>Szász Lili Sára; Szemerédy Boldizsár; Szenczi Dávid; Szentpéteri Szonja</t>
  </si>
  <si>
    <t>Szász Lili Sára; Szentpéteri Szonja</t>
  </si>
  <si>
    <t>Szilágyi Janka; Szopkó Dániel; Tatár Miksa; Tatár Miléna Sára</t>
  </si>
  <si>
    <t>Szilágyi Janka; Tatár Miléna Sára</t>
  </si>
  <si>
    <t>Tölgyesi Kinga; Trencséni-Kovács Eliot; Ungár Bertold; Varga Dénes</t>
  </si>
  <si>
    <t>Tölgyesi Kinga; Varga Dénes</t>
  </si>
  <si>
    <t>Varga-Perke Vince; Várkonyi Bátor; Várkonyi Dániel; Vass Oszkár Dániel</t>
  </si>
  <si>
    <t>Varga-Perke Vince; Vass Oszkár Dániel</t>
  </si>
  <si>
    <t>Végh Lotti Dóra; Veres-Bester Alíz; Vindis Boldizsár; Wachter Janka</t>
  </si>
  <si>
    <t>Végh Lotti Dóra; Wachter Janka</t>
  </si>
  <si>
    <t>Wagner Amélia Léna; Wilheim Szonja; Wolf Botond; Zafeiris Szofi</t>
  </si>
  <si>
    <t>Wagner Amélia Léna; Zafeiris Szofi</t>
  </si>
  <si>
    <t>Wolf Levente; zhuo yunye; Zolnai Szofi Lelle; Zoltán-Nagy Emese</t>
  </si>
  <si>
    <t>Wolf Levente; Zoltán-Nagy Emese</t>
  </si>
  <si>
    <t>Tanterem</t>
  </si>
  <si>
    <t>Bizottság</t>
  </si>
  <si>
    <t>Nap (yyyy. mm. dd)</t>
  </si>
  <si>
    <t>Nap</t>
  </si>
  <si>
    <t>Sorszám</t>
  </si>
  <si>
    <t>Név</t>
  </si>
  <si>
    <t>Megjelent</t>
  </si>
  <si>
    <t>Feltétel_Név</t>
  </si>
  <si>
    <t>Oszlop_Név</t>
  </si>
  <si>
    <t>Típus</t>
  </si>
  <si>
    <t>Súly</t>
  </si>
  <si>
    <t>Aktív</t>
  </si>
  <si>
    <t>Hátrányos</t>
  </si>
  <si>
    <t>Prioritas</t>
  </si>
  <si>
    <t>X</t>
  </si>
  <si>
    <t>Lakcím</t>
  </si>
  <si>
    <t>Szóbeli</t>
  </si>
  <si>
    <t>PluszPont</t>
  </si>
  <si>
    <t>0.001</t>
  </si>
  <si>
    <t>Matek</t>
  </si>
  <si>
    <t>Magyar</t>
  </si>
  <si>
    <t>Jenes Mihály Zoltán</t>
  </si>
  <si>
    <t>Golobokov Anna</t>
  </si>
  <si>
    <t>akos@anagy.hu</t>
  </si>
  <si>
    <t xml:space="preserve">1026 Budapest II. kerület, Pasaréti út 20 </t>
  </si>
  <si>
    <t>Jenes Ákos Károly</t>
  </si>
  <si>
    <t>P.Fülöp Flórián</t>
  </si>
  <si>
    <t>203426</t>
  </si>
  <si>
    <t>1039 Budapest III. kerület, Bárczi Géza utca 2.</t>
  </si>
  <si>
    <t>igazgato.barczig@ebtk.hu</t>
  </si>
  <si>
    <t>1/2431509</t>
  </si>
  <si>
    <t>1118 Budapest XI. kerület, Csíkihegyek utca 13-15.</t>
  </si>
  <si>
    <t>igazgato@csikihegyek.dbtk.hu</t>
  </si>
  <si>
    <t>034808</t>
  </si>
  <si>
    <t>034827</t>
  </si>
  <si>
    <t>034994</t>
  </si>
  <si>
    <t>038026</t>
  </si>
  <si>
    <t>kolcsey16altisk@gmail.com</t>
  </si>
  <si>
    <t>1161 Budapest XVI. kerület, Hősök tere 1.</t>
  </si>
  <si>
    <t>1/4058877</t>
  </si>
  <si>
    <t>1174 Budapest XVII. kerület, Kép utca 14.</t>
  </si>
  <si>
    <t>igazgato@czimra.com</t>
  </si>
  <si>
    <t>1032 Budapest III. kerület, Zápor utca 90.</t>
  </si>
  <si>
    <t>igazgato.szinesvilag@ebtk.hu</t>
  </si>
  <si>
    <t>2094 Nagykovácsi, Kossuth Lajos utca 2.</t>
  </si>
  <si>
    <t>derzsuzsanna23@gmail.com</t>
  </si>
  <si>
    <t>035092</t>
  </si>
  <si>
    <t>035109</t>
  </si>
  <si>
    <t>203697</t>
  </si>
  <si>
    <t>203494</t>
  </si>
  <si>
    <t>27/547-820</t>
  </si>
  <si>
    <t>igazgato@dunakeszi-szechenyi.hu</t>
  </si>
  <si>
    <t>2120 Dunakeszi, Károlyi utca 23.</t>
  </si>
  <si>
    <t>06 23 530 272</t>
  </si>
  <si>
    <t>post@ritsmannschule.hu</t>
  </si>
  <si>
    <t>iskolatitkarsag@tfgyakorlo.hu</t>
  </si>
  <si>
    <t>06/1-275-5780</t>
  </si>
  <si>
    <t>201824</t>
  </si>
  <si>
    <t>200696</t>
  </si>
  <si>
    <t>202765</t>
  </si>
  <si>
    <t>2013 Pomáz, Mátyás király utca 2.</t>
  </si>
  <si>
    <t>26/325545</t>
  </si>
  <si>
    <t>igazgato@matyasiskola.hu</t>
  </si>
  <si>
    <t>22/415-716</t>
  </si>
  <si>
    <t>romhanyigyorgyiskola@gmail.com</t>
  </si>
  <si>
    <t>2066 Szár, Rákóczi Ferenc utca 41.</t>
  </si>
  <si>
    <t>2000 Szentendre, Kálvária út 18.</t>
  </si>
  <si>
    <t>26/785-008</t>
  </si>
  <si>
    <t>igazgato@szentbar.hu</t>
  </si>
  <si>
    <t>037723</t>
  </si>
  <si>
    <t>201000</t>
  </si>
  <si>
    <t>032403</t>
  </si>
  <si>
    <t>032452</t>
  </si>
  <si>
    <t>2084 Pilisszentiván, Szabadság út 87.</t>
  </si>
  <si>
    <t>+36/30/6342818</t>
  </si>
  <si>
    <t>iskola@pilisszentivan.hu</t>
  </si>
  <si>
    <t>1036 Budapest III. kerület, Tímár utca 10-16.</t>
  </si>
  <si>
    <t>igazgato@peterpaliskola.hu</t>
  </si>
  <si>
    <t>1/3888301</t>
  </si>
  <si>
    <t>2144 Kerepes, Vörösmarty utca 2.</t>
  </si>
  <si>
    <t>28/560440</t>
  </si>
  <si>
    <t>igazgato@kerepes-szechenyi.hu</t>
  </si>
  <si>
    <t>1046 Budapest IV. kerület, Bajza utca 2.</t>
  </si>
  <si>
    <t>01/3691195</t>
  </si>
  <si>
    <t>igazgato.bajzaj@ebtk.hu</t>
  </si>
  <si>
    <t>1146 Budapest XIV. kerület, Hermina út 9-15.</t>
  </si>
  <si>
    <t>01/3633525</t>
  </si>
  <si>
    <t>infovarosligeti@gmail.com</t>
  </si>
  <si>
    <t>034858</t>
  </si>
  <si>
    <t>032373</t>
  </si>
  <si>
    <t>034861</t>
  </si>
  <si>
    <t>035050</t>
  </si>
  <si>
    <t>2026-03-18_1515</t>
  </si>
  <si>
    <t>\\NS2\Felvételi\Data\Pontozo\1\1_2026-03-18_1515.docx</t>
  </si>
  <si>
    <t>Deák Botond; Hanczár Ilka Erzsébet; Papp Emese</t>
  </si>
  <si>
    <t>Földi Júlia; Kozma Ajnácska Liliom; Nyári Emma; Orbán-Kiss Donát</t>
  </si>
  <si>
    <t>Földi Júlia; Orbán-Kiss Donát</t>
  </si>
  <si>
    <t>LEMONDTA A FELVÉTELIT</t>
  </si>
  <si>
    <t>2026. 03. 18</t>
  </si>
  <si>
    <t>idx</t>
  </si>
  <si>
    <t>ara20151119</t>
  </si>
  <si>
    <t>lei20151218</t>
  </si>
  <si>
    <t>cse20151101</t>
  </si>
  <si>
    <t>ben20151202</t>
  </si>
  <si>
    <t>hor20151226</t>
  </si>
  <si>
    <t>tak20150909</t>
  </si>
  <si>
    <t>dom20150721</t>
  </si>
  <si>
    <t>sze20150917</t>
  </si>
  <si>
    <t>men20160304</t>
  </si>
  <si>
    <t>bal20160208</t>
  </si>
  <si>
    <t>tuk20160621</t>
  </si>
  <si>
    <t>roc20160728</t>
  </si>
  <si>
    <t>egr20160628</t>
  </si>
  <si>
    <t>koc20151204</t>
  </si>
  <si>
    <t>lex20160317</t>
  </si>
  <si>
    <t>kal20151212</t>
  </si>
  <si>
    <t>seb20150810</t>
  </si>
  <si>
    <t>tot20150730</t>
  </si>
  <si>
    <t>cha20160117</t>
  </si>
  <si>
    <t>seb20151124</t>
  </si>
  <si>
    <t>rat20151102</t>
  </si>
  <si>
    <t>pet20151126</t>
  </si>
  <si>
    <t>lip20151020</t>
  </si>
  <si>
    <t>cso20150305</t>
  </si>
  <si>
    <t>kom20160605</t>
  </si>
  <si>
    <t>bar20151124</t>
  </si>
  <si>
    <t>pro20160227</t>
  </si>
  <si>
    <t>lov20150309</t>
  </si>
  <si>
    <t>ist20151110</t>
  </si>
  <si>
    <t>faz20160607</t>
  </si>
  <si>
    <t>pel20151001</t>
  </si>
  <si>
    <t>drg20150606</t>
  </si>
  <si>
    <t>lei20150329</t>
  </si>
  <si>
    <t>kov20151124</t>
  </si>
  <si>
    <t>kal20150722</t>
  </si>
  <si>
    <t>bal20160520</t>
  </si>
  <si>
    <t>gul20151227</t>
  </si>
  <si>
    <t>dum20150812</t>
  </si>
  <si>
    <t>tam20160723</t>
  </si>
  <si>
    <t>bar20160114</t>
  </si>
  <si>
    <t>csa20160518</t>
  </si>
  <si>
    <t>tuk20151116</t>
  </si>
  <si>
    <t>hol20151010</t>
  </si>
  <si>
    <t>van20150519</t>
  </si>
  <si>
    <t>ger20150621</t>
  </si>
  <si>
    <t>zso20150724</t>
  </si>
  <si>
    <t>sze20160728</t>
  </si>
  <si>
    <t>jar20151031</t>
  </si>
  <si>
    <t>szà20151216</t>
  </si>
  <si>
    <t>rad20151225</t>
  </si>
  <si>
    <t>dub20160522</t>
  </si>
  <si>
    <t>and20150904</t>
  </si>
  <si>
    <t>str20160115</t>
  </si>
  <si>
    <t>szu20150624</t>
  </si>
  <si>
    <t>sze20150622</t>
  </si>
  <si>
    <t>kos20151014</t>
  </si>
  <si>
    <t>kis20150925</t>
  </si>
  <si>
    <t>pen20150901</t>
  </si>
  <si>
    <t>ild20151229</t>
  </si>
  <si>
    <t>tot20151210</t>
  </si>
  <si>
    <t>kec20160224</t>
  </si>
  <si>
    <t>drp20151220</t>
  </si>
  <si>
    <t>fre20141105</t>
  </si>
  <si>
    <t>vas20150916</t>
  </si>
  <si>
    <t>juh20150824</t>
  </si>
  <si>
    <t>sza20151027</t>
  </si>
  <si>
    <t>dud20160325</t>
  </si>
  <si>
    <t>sza20160425</t>
  </si>
  <si>
    <t>bar20150609</t>
  </si>
  <si>
    <t>var20151004</t>
  </si>
  <si>
    <t>gre20150621</t>
  </si>
  <si>
    <t>ben20160704</t>
  </si>
  <si>
    <t>var20150926</t>
  </si>
  <si>
    <t>kes20151209</t>
  </si>
  <si>
    <t>ver20160513</t>
  </si>
  <si>
    <t>kli20160402</t>
  </si>
  <si>
    <t>sch20170210</t>
  </si>
  <si>
    <t>vid20151029</t>
  </si>
  <si>
    <t>fri20150918</t>
  </si>
  <si>
    <t>tot20160519</t>
  </si>
  <si>
    <t>sze20140913</t>
  </si>
  <si>
    <t>tor20151015</t>
  </si>
  <si>
    <t>som20150919</t>
  </si>
  <si>
    <t>ibo20151129</t>
  </si>
  <si>
    <t>per20150810</t>
  </si>
  <si>
    <t>tot20160628</t>
  </si>
  <si>
    <t>ker20141114</t>
  </si>
  <si>
    <t>orl20160721</t>
  </si>
  <si>
    <t>mol20160511</t>
  </si>
  <si>
    <t>lor20160127</t>
  </si>
  <si>
    <t>mos20160115</t>
  </si>
  <si>
    <t>ver20160119</t>
  </si>
  <si>
    <t>kel20150122</t>
  </si>
  <si>
    <t>sza20160201</t>
  </si>
  <si>
    <t>bor20150724</t>
  </si>
  <si>
    <t>nye20150413</t>
  </si>
  <si>
    <t>sim20150603</t>
  </si>
  <si>
    <t>kez20160311</t>
  </si>
  <si>
    <t>mag20160424</t>
  </si>
  <si>
    <t>let20151019</t>
  </si>
  <si>
    <t>kis20141117</t>
  </si>
  <si>
    <t>nag20151122</t>
  </si>
  <si>
    <t>bak20160614</t>
  </si>
  <si>
    <t>zsu20150611</t>
  </si>
  <si>
    <t>zsi20160704</t>
  </si>
  <si>
    <t>sza20160412</t>
  </si>
  <si>
    <t>sie20151109</t>
  </si>
  <si>
    <t>laj20160101</t>
  </si>
  <si>
    <t>san20160316</t>
  </si>
  <si>
    <t>kar20160321</t>
  </si>
  <si>
    <t>rau20151213</t>
  </si>
  <si>
    <t>lev20150807</t>
  </si>
  <si>
    <t>pet20160107</t>
  </si>
  <si>
    <t>alm20151219</t>
  </si>
  <si>
    <t>tot20160331</t>
  </si>
  <si>
    <t>kur20160529</t>
  </si>
  <si>
    <t>szl20151116</t>
  </si>
  <si>
    <t>kir20160430</t>
  </si>
  <si>
    <t>man20150422</t>
  </si>
  <si>
    <t>pop20160304</t>
  </si>
  <si>
    <t>kut20160127</t>
  </si>
  <si>
    <t>bac20151125</t>
  </si>
  <si>
    <t>pin20150801</t>
  </si>
  <si>
    <t>ark20160305</t>
  </si>
  <si>
    <t>yuy20140707</t>
  </si>
  <si>
    <t>sle20151212</t>
  </si>
  <si>
    <t>mog20160408</t>
  </si>
  <si>
    <t>gyo20160126</t>
  </si>
  <si>
    <t>tak20150618</t>
  </si>
  <si>
    <t>kud20150907</t>
  </si>
  <si>
    <t>gom20151008</t>
  </si>
  <si>
    <t>mol20160604</t>
  </si>
  <si>
    <t>pes20160119</t>
  </si>
  <si>
    <t>kri20151003</t>
  </si>
  <si>
    <t>tot20151001</t>
  </si>
  <si>
    <t>pol20150928</t>
  </si>
  <si>
    <t>bur20150708</t>
  </si>
  <si>
    <t>ori20160507</t>
  </si>
  <si>
    <t>ber20160229</t>
  </si>
  <si>
    <t>mih20160104</t>
  </si>
  <si>
    <t>dul20150819</t>
  </si>
  <si>
    <t>zag20150719</t>
  </si>
  <si>
    <t>wer20150818</t>
  </si>
  <si>
    <t>kha20150429</t>
  </si>
  <si>
    <t>dug20150622</t>
  </si>
  <si>
    <t>muc20151126</t>
  </si>
  <si>
    <t>ben20160301</t>
  </si>
  <si>
    <t>hor20160603</t>
  </si>
  <si>
    <t>rac20160720</t>
  </si>
  <si>
    <t>var20141223</t>
  </si>
  <si>
    <t>gar20150918</t>
  </si>
  <si>
    <t>jak20151218</t>
  </si>
  <si>
    <t>spe20151006</t>
  </si>
  <si>
    <t>bar20151021</t>
  </si>
  <si>
    <t>som20160418</t>
  </si>
  <si>
    <t>kis20150527</t>
  </si>
  <si>
    <t>mak20160225</t>
  </si>
  <si>
    <t>hor20150614</t>
  </si>
  <si>
    <t>kis20150729</t>
  </si>
  <si>
    <t>soo20150502</t>
  </si>
  <si>
    <t>zso20151002</t>
  </si>
  <si>
    <t>kal20151129</t>
  </si>
  <si>
    <t>ban20160512</t>
  </si>
  <si>
    <t>sze20160121</t>
  </si>
  <si>
    <t>win20160108</t>
  </si>
  <si>
    <t>pet20151118</t>
  </si>
  <si>
    <t>kis20160315</t>
  </si>
  <si>
    <t>zhu20150928</t>
  </si>
  <si>
    <t>reb20150921</t>
  </si>
  <si>
    <t>spe20160210</t>
  </si>
  <si>
    <t>gac20160105</t>
  </si>
  <si>
    <t>gal20150426</t>
  </si>
  <si>
    <t>sza20151107</t>
  </si>
  <si>
    <t>lak20160415</t>
  </si>
  <si>
    <t>ter20160126</t>
  </si>
  <si>
    <t>rok20150726</t>
  </si>
  <si>
    <t>bos20151209</t>
  </si>
  <si>
    <t>nad20151124</t>
  </si>
  <si>
    <t>pet20150818</t>
  </si>
  <si>
    <t>leh20151124</t>
  </si>
  <si>
    <t>bol20151121</t>
  </si>
  <si>
    <t>tok20150816</t>
  </si>
  <si>
    <t>suk20150528</t>
  </si>
  <si>
    <t>her20161213</t>
  </si>
  <si>
    <t>pap20150723</t>
  </si>
  <si>
    <t>zab20150818</t>
  </si>
  <si>
    <t>sze20151204</t>
  </si>
  <si>
    <t>kov20160111</t>
  </si>
  <si>
    <t>amb20150611</t>
  </si>
  <si>
    <t>cse20150110</t>
  </si>
  <si>
    <t>cse20150630</t>
  </si>
  <si>
    <t>szo20160316</t>
  </si>
  <si>
    <t>kun20151102</t>
  </si>
  <si>
    <t>nem20151230</t>
  </si>
  <si>
    <t>pus20150914</t>
  </si>
  <si>
    <t>mag20160810</t>
  </si>
  <si>
    <t>oro20150911</t>
  </si>
  <si>
    <t>bob20160426</t>
  </si>
  <si>
    <t>ngu20151019</t>
  </si>
  <si>
    <t>ver20150510</t>
  </si>
  <si>
    <t>for20150616</t>
  </si>
  <si>
    <t>vit20160621</t>
  </si>
  <si>
    <t>pog20160519</t>
  </si>
  <si>
    <t>taj20150219</t>
  </si>
  <si>
    <t>heg20150911</t>
  </si>
  <si>
    <t>bec20160101</t>
  </si>
  <si>
    <t>nem20160310</t>
  </si>
  <si>
    <t>wra20150920</t>
  </si>
  <si>
    <t>kla20150918</t>
  </si>
  <si>
    <t>udv20151109</t>
  </si>
  <si>
    <t>and20160717</t>
  </si>
  <si>
    <t>ger20150906</t>
  </si>
  <si>
    <t>var20150623</t>
  </si>
  <si>
    <t>ero20150217</t>
  </si>
  <si>
    <t>kap20160519</t>
  </si>
  <si>
    <t>sim20160222</t>
  </si>
  <si>
    <t>fek20151109</t>
  </si>
  <si>
    <t>sza20150924</t>
  </si>
  <si>
    <t>sol20150707</t>
  </si>
  <si>
    <t>mor20150819</t>
  </si>
  <si>
    <t>tre20160408</t>
  </si>
  <si>
    <t>heg20150804</t>
  </si>
  <si>
    <t>poc20150930</t>
  </si>
  <si>
    <t>nyi20151210</t>
  </si>
  <si>
    <t>ful20151209</t>
  </si>
  <si>
    <t>acs20151103</t>
  </si>
  <si>
    <t>kov20160607</t>
  </si>
  <si>
    <t>feh20150115</t>
  </si>
  <si>
    <t>kra20150903</t>
  </si>
  <si>
    <t>nad20160624</t>
  </si>
  <si>
    <t>fen20160105</t>
  </si>
  <si>
    <t>erc20160712</t>
  </si>
  <si>
    <t>koz20160402</t>
  </si>
  <si>
    <t>wag20150914</t>
  </si>
  <si>
    <t>tia20160405</t>
  </si>
  <si>
    <t>dob20160321</t>
  </si>
  <si>
    <t>sze20150906</t>
  </si>
  <si>
    <t>laz20160131</t>
  </si>
  <si>
    <t>kov20150727</t>
  </si>
  <si>
    <t>zhe20160614</t>
  </si>
  <si>
    <t>sza20151114</t>
  </si>
  <si>
    <t>nag20150420</t>
  </si>
  <si>
    <t>nag20151002</t>
  </si>
  <si>
    <t>sol20160224</t>
  </si>
  <si>
    <t>gol20150526</t>
  </si>
  <si>
    <t>azonosito</t>
  </si>
  <si>
    <t>73397704076</t>
  </si>
  <si>
    <t>73458204705</t>
  </si>
  <si>
    <t>73368662837</t>
  </si>
  <si>
    <t>73408066413</t>
  </si>
  <si>
    <t>73403951239</t>
  </si>
  <si>
    <t>73450208118</t>
  </si>
  <si>
    <t>73396287451</t>
  </si>
  <si>
    <t>73388245475</t>
  </si>
  <si>
    <t>73423065466</t>
  </si>
  <si>
    <t>73444954982</t>
  </si>
  <si>
    <t>73447278513</t>
  </si>
  <si>
    <t>73439061486</t>
  </si>
  <si>
    <t>73414539651</t>
  </si>
  <si>
    <t>73426435560</t>
  </si>
  <si>
    <t>73441792245</t>
  </si>
  <si>
    <t>73403984187</t>
  </si>
  <si>
    <t>73356576262</t>
  </si>
  <si>
    <t>73444449680</t>
  </si>
  <si>
    <t>73440347726</t>
  </si>
  <si>
    <t>73412770018</t>
  </si>
  <si>
    <t>73415572955</t>
  </si>
  <si>
    <t>73367126561</t>
  </si>
  <si>
    <t>73355303340</t>
  </si>
  <si>
    <t>73433430250</t>
  </si>
  <si>
    <t>73397901825</t>
  </si>
  <si>
    <t>73454482508</t>
  </si>
  <si>
    <t>73372898612</t>
  </si>
  <si>
    <t>73422586333</t>
  </si>
  <si>
    <t>73456722309</t>
  </si>
  <si>
    <t>73379507776</t>
  </si>
  <si>
    <t>73379908677</t>
  </si>
  <si>
    <t>73356971698</t>
  </si>
  <si>
    <t>73540808263</t>
  </si>
  <si>
    <t>73382220399</t>
  </si>
  <si>
    <t>73459958235</t>
  </si>
  <si>
    <t>73407943496</t>
  </si>
  <si>
    <t>73462455579</t>
  </si>
  <si>
    <t>73409512218</t>
  </si>
  <si>
    <t>73441886691</t>
  </si>
  <si>
    <t>73401049528</t>
  </si>
  <si>
    <t>73346363733</t>
  </si>
  <si>
    <t>73398409929</t>
  </si>
  <si>
    <t>73393879029</t>
  </si>
  <si>
    <t>73390908771</t>
  </si>
  <si>
    <t>73440702539</t>
  </si>
  <si>
    <t>73423708584</t>
  </si>
  <si>
    <t>73459569658</t>
  </si>
  <si>
    <t>73469475134</t>
  </si>
  <si>
    <t>73399980971</t>
  </si>
  <si>
    <t>73447213994</t>
  </si>
  <si>
    <t>73372004612</t>
  </si>
  <si>
    <t>73354025937</t>
  </si>
  <si>
    <t>73412529905</t>
  </si>
  <si>
    <t>73368509075</t>
  </si>
  <si>
    <t>73368535781</t>
  </si>
  <si>
    <t>73385741569</t>
  </si>
  <si>
    <t>73403949802</t>
  </si>
  <si>
    <t>73461421048</t>
  </si>
  <si>
    <t>73464787700</t>
  </si>
  <si>
    <t>73447183966</t>
  </si>
  <si>
    <t>73391114976</t>
  </si>
  <si>
    <t>73433360067</t>
  </si>
  <si>
    <t>73373569996</t>
  </si>
  <si>
    <t>73424035434</t>
  </si>
  <si>
    <t>73447694831</t>
  </si>
  <si>
    <t>73443399163</t>
  </si>
  <si>
    <t>73376316180</t>
  </si>
  <si>
    <t>73419768586</t>
  </si>
  <si>
    <t>73461196991</t>
  </si>
  <si>
    <t>73388477952</t>
  </si>
  <si>
    <t>73404935220</t>
  </si>
  <si>
    <t>73467594637</t>
  </si>
  <si>
    <t>73519460510</t>
  </si>
  <si>
    <t>73448383504</t>
  </si>
  <si>
    <t>73409789617</t>
  </si>
  <si>
    <t>73473220258</t>
  </si>
  <si>
    <t>73366921134</t>
  </si>
  <si>
    <t>73366957487</t>
  </si>
  <si>
    <t>73382858450</t>
  </si>
  <si>
    <t>73466292678</t>
  </si>
  <si>
    <t>73400971532</t>
  </si>
  <si>
    <t>73451589251</t>
  </si>
  <si>
    <t>73435697572</t>
  </si>
  <si>
    <t>73446328414</t>
  </si>
  <si>
    <t>73434537458</t>
  </si>
  <si>
    <t>73451940412</t>
  </si>
  <si>
    <t>73467865640</t>
  </si>
  <si>
    <t>73368979008</t>
  </si>
  <si>
    <t>73467291782</t>
  </si>
  <si>
    <t>73374347526</t>
  </si>
  <si>
    <t>73403606863</t>
  </si>
  <si>
    <t>73367177186</t>
  </si>
  <si>
    <t>73439197152</t>
  </si>
  <si>
    <t>73448883501</t>
  </si>
  <si>
    <t>73379688303</t>
  </si>
  <si>
    <t>73397945801</t>
  </si>
  <si>
    <t>73480762264</t>
  </si>
  <si>
    <t>73371958805</t>
  </si>
  <si>
    <t>73477836437</t>
  </si>
  <si>
    <t>73434537959</t>
  </si>
  <si>
    <t>73454899919</t>
  </si>
  <si>
    <t>73444952440</t>
  </si>
  <si>
    <t>73513465707</t>
  </si>
  <si>
    <t>73433823697</t>
  </si>
  <si>
    <t>73372163332</t>
  </si>
  <si>
    <t>73374463454</t>
  </si>
  <si>
    <t>73404064475</t>
  </si>
  <si>
    <t>73479398119</t>
  </si>
  <si>
    <t>73448027877</t>
  </si>
  <si>
    <t>73343614061</t>
  </si>
  <si>
    <t>73397733022</t>
  </si>
  <si>
    <t>73390867220</t>
  </si>
  <si>
    <t>73369223976</t>
  </si>
  <si>
    <t>73474201462</t>
  </si>
  <si>
    <t>73514820336</t>
  </si>
  <si>
    <t>73433974468</t>
  </si>
  <si>
    <t>73475494565</t>
  </si>
  <si>
    <t>73364247714</t>
  </si>
  <si>
    <t>73453319030</t>
  </si>
  <si>
    <t>73434586908</t>
  </si>
  <si>
    <t>73375507384</t>
  </si>
  <si>
    <t>73417361762</t>
  </si>
  <si>
    <t>73445782588</t>
  </si>
  <si>
    <t>73458608976</t>
  </si>
  <si>
    <t>73434085476</t>
  </si>
  <si>
    <t>73452211159</t>
  </si>
  <si>
    <t>73377365054</t>
  </si>
  <si>
    <t>73403038256</t>
  </si>
  <si>
    <t>73373316392</t>
  </si>
  <si>
    <t>73398242252</t>
  </si>
  <si>
    <t>73461374108</t>
  </si>
  <si>
    <t>73444904013</t>
  </si>
  <si>
    <t>73441125482</t>
  </si>
  <si>
    <t>73392543419</t>
  </si>
  <si>
    <t>73465412898</t>
  </si>
  <si>
    <t>73415374171</t>
  </si>
  <si>
    <t>73366464798</t>
  </si>
  <si>
    <t>73396591002</t>
  </si>
  <si>
    <t>73453335286</t>
  </si>
  <si>
    <t>73354124031</t>
  </si>
  <si>
    <t>73433972875</t>
  </si>
  <si>
    <t>73370819656</t>
  </si>
  <si>
    <t>73388537952</t>
  </si>
  <si>
    <t>73388066975</t>
  </si>
  <si>
    <t>73434246666</t>
  </si>
  <si>
    <t>73436408585</t>
  </si>
  <si>
    <t>73477201214</t>
  </si>
  <si>
    <t>73419619808</t>
  </si>
  <si>
    <t>73452614582</t>
  </si>
  <si>
    <t>73394182862</t>
  </si>
  <si>
    <t>73440202460</t>
  </si>
  <si>
    <t>73596362201</t>
  </si>
  <si>
    <t>73409303441</t>
  </si>
  <si>
    <t>73343503948</t>
  </si>
  <si>
    <t>73374399700</t>
  </si>
  <si>
    <t>73483894300</t>
  </si>
  <si>
    <t>73451240657</t>
  </si>
  <si>
    <t>73479782489</t>
  </si>
  <si>
    <t>73347281187</t>
  </si>
  <si>
    <t>73427679480</t>
  </si>
  <si>
    <t>73355399771</t>
  </si>
  <si>
    <t>73457052387</t>
  </si>
  <si>
    <t>73542078254</t>
  </si>
  <si>
    <t>73375728859</t>
  </si>
  <si>
    <t>73367209314</t>
  </si>
  <si>
    <t>73433826124</t>
  </si>
  <si>
    <t>73380164423</t>
  </si>
  <si>
    <t>73377394940</t>
  </si>
  <si>
    <t>73381903177</t>
  </si>
  <si>
    <t>73455849297</t>
  </si>
  <si>
    <t>73392263925</t>
  </si>
  <si>
    <t>73441453376</t>
  </si>
  <si>
    <t>73388860536</t>
  </si>
  <si>
    <t>73446881992</t>
  </si>
  <si>
    <t>73401195268</t>
  </si>
  <si>
    <t>73467305298</t>
  </si>
  <si>
    <t>73450879533</t>
  </si>
  <si>
    <t>73386282676</t>
  </si>
  <si>
    <t>73383115638</t>
  </si>
  <si>
    <t>73428458368</t>
  </si>
  <si>
    <t>73383922770</t>
  </si>
  <si>
    <t>73397094404</t>
  </si>
  <si>
    <t>73398200860</t>
  </si>
  <si>
    <t>73468132299</t>
  </si>
  <si>
    <t>73409504851</t>
  </si>
  <si>
    <t>73469581852</t>
  </si>
  <si>
    <t>73434106790</t>
  </si>
  <si>
    <t>73476816770</t>
  </si>
  <si>
    <t>73405061333</t>
  </si>
  <si>
    <t>73389177137</t>
  </si>
  <si>
    <t>73433982479</t>
  </si>
  <si>
    <t>73451007188</t>
  </si>
  <si>
    <t>73423956297</t>
  </si>
  <si>
    <t>73362108829</t>
  </si>
  <si>
    <t>73377956129</t>
  </si>
  <si>
    <t>73403301833</t>
  </si>
  <si>
    <t>73484274121</t>
  </si>
  <si>
    <t>73355315314</t>
  </si>
  <si>
    <t>73394043958</t>
  </si>
  <si>
    <t>73393876626</t>
  </si>
  <si>
    <t>73368474407</t>
  </si>
  <si>
    <t>73439729834</t>
  </si>
  <si>
    <t>73489743706</t>
  </si>
  <si>
    <t>73356617786</t>
  </si>
  <si>
    <t>73433973380</t>
  </si>
  <si>
    <t>73443908312</t>
  </si>
  <si>
    <t>73463845757</t>
  </si>
  <si>
    <t>73470036843</t>
  </si>
  <si>
    <t>73398612264</t>
  </si>
  <si>
    <t>73431940030</t>
  </si>
  <si>
    <t>73444461676</t>
  </si>
  <si>
    <t>73402869117</t>
  </si>
  <si>
    <t>73402870154</t>
  </si>
  <si>
    <t>73418185042</t>
  </si>
  <si>
    <t>73455804310</t>
  </si>
  <si>
    <t>73368090786</t>
  </si>
  <si>
    <t>73403341463</t>
  </si>
  <si>
    <t>73403549050</t>
  </si>
  <si>
    <t>73403556636</t>
  </si>
  <si>
    <t>73515823299</t>
  </si>
  <si>
    <t>73397511964</t>
  </si>
  <si>
    <t>73388017809</t>
  </si>
  <si>
    <t>73402609673</t>
  </si>
  <si>
    <t>73468587557</t>
  </si>
  <si>
    <t>73389202329</t>
  </si>
  <si>
    <t>73440326691</t>
  </si>
  <si>
    <t>73392983265</t>
  </si>
  <si>
    <t>73466066265</t>
  </si>
  <si>
    <t>73445841885</t>
  </si>
  <si>
    <t>73421145639</t>
  </si>
  <si>
    <t>74503209492</t>
  </si>
  <si>
    <t>73385719960</t>
  </si>
  <si>
    <t>73448493800</t>
  </si>
  <si>
    <t>74214111000</t>
  </si>
  <si>
    <t>73397706179</t>
  </si>
  <si>
    <t>73451670818</t>
  </si>
  <si>
    <t>73397095466</t>
  </si>
  <si>
    <t>73395980409</t>
  </si>
  <si>
    <t>73379215029</t>
  </si>
  <si>
    <t>73573016954</t>
  </si>
  <si>
    <t>73386368117</t>
  </si>
  <si>
    <t>73403215172</t>
  </si>
  <si>
    <t>Elutasítva</t>
  </si>
  <si>
    <t>Heitmann Ádám József</t>
  </si>
  <si>
    <t>Hubai Mátyás Krisztián</t>
  </si>
  <si>
    <t>Jáger Bálint</t>
  </si>
  <si>
    <t>Leányvári Regő Bendegúz</t>
  </si>
  <si>
    <t>A Tanuló által a középfokú felvételi eljárásban megszerzett pontszám nem éri el az 1000-es tagozatkóddal megjelölt tanulmányi területre a felvételhez szükséges minimális pontszámot.</t>
  </si>
  <si>
    <t>A Tanuló által a középfokú felvételi eljárásban megszerzett pontszám nem éri el a 2000-es tagozatkóddal megjelölt tanulmányi területre a felvételhez szükséges minimális pontszámot.</t>
  </si>
  <si>
    <t>A Tanuló által a középfokú felvételi eljárásban megszerzett pontszám nem éri el a 3000-es tagozatkóddal megjelölt tanulmányi területre a felvételhez szükséges minimális pontszámot.</t>
  </si>
  <si>
    <t>A Tanuló által a középfokú felvételi eljárásban megszerzett pontszám nem éri el a 4000-es tagozatkóddal megjelölt tanulmányi területre a felvételhez szükséges minimális pontszámot.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</si>
</sst>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\ hh:mm:ss"/>
  </numFmts>
  <fonts count="13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u/>
      <sz val="11"/>
      <color theme="10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2"/>
      <color rgb="FF1F2328"/>
      <name val="Segoe UI"/>
      <family val="2"/>
      <charset val="238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0"/>
      <color rgb="FF212529"/>
      <name val="Arial"/>
      <family val="2"/>
      <charset val="238"/>
    </font>
    <font>
      <b/>
      <sz val="11"/>
      <color theme="1"/>
      <name val="Aptos Narrow"/>
      <family val="2"/>
      <charset val="238"/>
      <scheme val="minor"/>
    </font>
    <font>
      <sz val="11"/>
      <color rgb="FF339966"/>
      <name val="Aptos Narrow"/>
      <family val="2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4D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2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4" fillId="8" borderId="2" xfId="0" applyFont="1" applyFill="1" applyBorder="1"/>
    <xf numFmtId="0" fontId="4" fillId="8" borderId="5" xfId="0" applyFont="1" applyFill="1" applyBorder="1"/>
    <xf numFmtId="0" fontId="0" fillId="9" borderId="5" xfId="0" applyFill="1" applyBorder="1"/>
    <xf numFmtId="0" fontId="0" fillId="9" borderId="0" xfId="0" applyFill="1"/>
    <xf numFmtId="0" fontId="0" fillId="9" borderId="6" xfId="0" applyFill="1" applyBorder="1"/>
    <xf numFmtId="14" fontId="0" fillId="0" borderId="0" xfId="0" applyNumberFormat="1"/>
    <xf numFmtId="0" fontId="0" fillId="10" borderId="0" xfId="0" applyFill="1"/>
    <xf numFmtId="164" fontId="5" fillId="0" borderId="0" xfId="0" applyNumberFormat="1" applyFont="1"/>
    <xf numFmtId="164" fontId="0" fillId="0" borderId="0" xfId="0" applyNumberFormat="1"/>
    <xf numFmtId="1" fontId="5" fillId="0" borderId="0" xfId="0" applyNumberFormat="1" applyFont="1"/>
    <xf numFmtId="1" fontId="0" fillId="0" borderId="0" xfId="0" applyNumberFormat="1"/>
    <xf numFmtId="22" fontId="0" fillId="0" borderId="0" xfId="0" applyNumberFormat="1"/>
    <xf numFmtId="0" fontId="6" fillId="0" borderId="0" xfId="0" applyFont="1"/>
    <xf numFmtId="0" fontId="5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0" fillId="11" borderId="0" xfId="0" applyFill="1"/>
    <xf numFmtId="0" fontId="9" fillId="0" borderId="0" xfId="0" applyFont="1"/>
    <xf numFmtId="2" fontId="0" fillId="0" borderId="0" xfId="0" applyNumberFormat="1"/>
    <xf numFmtId="49" fontId="0" fillId="0" borderId="0" xfId="0" applyNumberFormat="1"/>
    <xf numFmtId="0" fontId="0" fillId="0" borderId="0" xfId="0" quotePrefix="1"/>
    <xf numFmtId="0" fontId="4" fillId="8" borderId="1" xfId="0" applyFont="1" applyFill="1" applyBorder="1"/>
    <xf numFmtId="0" fontId="4" fillId="8" borderId="9" xfId="0" applyFont="1" applyFill="1" applyBorder="1"/>
    <xf numFmtId="0" fontId="0" fillId="9" borderId="1" xfId="0" applyFill="1" applyBorder="1"/>
    <xf numFmtId="0" fontId="0" fillId="9" borderId="9" xfId="0" applyFill="1" applyBorder="1"/>
    <xf numFmtId="0" fontId="0" fillId="9" borderId="7" xfId="0" applyFill="1" applyBorder="1"/>
    <xf numFmtId="0" fontId="0" fillId="9" borderId="8" xfId="0" applyFill="1" applyBorder="1"/>
    <xf numFmtId="0" fontId="10" fillId="0" borderId="0" xfId="0" applyFont="1"/>
    <xf numFmtId="49" fontId="5" fillId="0" borderId="0" xfId="0" applyNumberFormat="1" applyFont="1"/>
    <xf numFmtId="2" fontId="5" fillId="0" borderId="0" xfId="0" applyNumberFormat="1" applyFont="1"/>
  </cellXfs>
  <cellStyles count="3">
    <cellStyle name="Hivatkozás" xfId="2" builtinId="8"/>
    <cellStyle name="Normál" xfId="0" builtinId="0"/>
    <cellStyle name="Normál 2" xfId="1" xr:uid="{A3AB8264-0FA1-482B-AF02-19771B6EB1A8}"/>
  </cellStyles>
  <dxfs count="75">
    <dxf>
      <numFmt numFmtId="1" formatCode="0"/>
    </dxf>
    <dxf>
      <numFmt numFmtId="164" formatCode="yyyy\.mm\.dd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0" tint="-0.34998626667073579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indexed="64"/>
          <bgColor rgb="FFFFCC99"/>
        </patternFill>
      </fill>
    </dxf>
    <dxf>
      <fill>
        <patternFill patternType="solid">
          <fgColor indexed="64"/>
          <bgColor rgb="FFB4DCFF"/>
        </patternFill>
      </fill>
    </dxf>
    <dxf>
      <numFmt numFmtId="2" formatCode="0.00"/>
    </dxf>
    <dxf>
      <fill>
        <patternFill patternType="solid">
          <fgColor indexed="64"/>
          <bgColor rgb="FFB4DCFF"/>
        </patternFill>
      </fill>
    </dxf>
    <dxf>
      <numFmt numFmtId="0" formatCode="General"/>
      <fill>
        <patternFill patternType="solid">
          <fgColor indexed="64"/>
          <bgColor rgb="FFB4DCFF"/>
        </patternFill>
      </fill>
    </dxf>
    <dxf>
      <numFmt numFmtId="0" formatCode="General"/>
    </dxf>
    <dxf>
      <numFmt numFmtId="0" formatCode="General"/>
    </dxf>
    <dxf>
      <numFmt numFmtId="30" formatCode="@"/>
    </dxf>
    <dxf>
      <fill>
        <patternFill patternType="solid">
          <fgColor indexed="64"/>
          <bgColor rgb="FFB4DC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38100</xdr:rowOff>
        </xdr:from>
        <xdr:to>
          <xdr:col>7</xdr:col>
          <xdr:colOff>28575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339966"/>
                  </a:solidFill>
                  <a:latin typeface="Aptos Narrow"/>
                </a:rPr>
                <a:t>Iskola db ellenőrzés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0</xdr:rowOff>
        </xdr:from>
        <xdr:to>
          <xdr:col>1</xdr:col>
          <xdr:colOff>171450</xdr:colOff>
          <xdr:row>2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Frissítés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0</xdr:rowOff>
        </xdr:from>
        <xdr:to>
          <xdr:col>1</xdr:col>
          <xdr:colOff>600075</xdr:colOff>
          <xdr:row>6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felvettek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19050</xdr:rowOff>
        </xdr:from>
        <xdr:to>
          <xdr:col>1</xdr:col>
          <xdr:colOff>533400</xdr:colOff>
          <xdr:row>8</xdr:row>
          <xdr:rowOff>66675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 esélyesek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2</xdr:row>
          <xdr:rowOff>161925</xdr:rowOff>
        </xdr:from>
        <xdr:to>
          <xdr:col>1</xdr:col>
          <xdr:colOff>295275</xdr:colOff>
          <xdr:row>4</xdr:row>
          <xdr:rowOff>38100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Aptos Narrow"/>
                </a:rPr>
                <a:t>Nézzük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1E4D2-BDE0-4AF8-AA06-7D0D840B4AA7}" name="iskola" displayName="iskola" ref="D3:K219" totalsRowShown="0">
  <autoFilter ref="D3:K219" xr:uid="{86E1E4D2-BDE0-4AF8-AA06-7D0D840B4AA7}"/>
  <sortState xmlns:xlrd2="http://schemas.microsoft.com/office/spreadsheetml/2017/richdata2" ref="D4:K203">
    <sortCondition ref="F3:F203"/>
  </sortState>
  <tableColumns count="8">
    <tableColumn id="1" xr3:uid="{71664D9D-42B9-41ED-904C-C984C542712A}" name="iskolaom" dataDxfId="74">
      <calculatedColumnFormula>TEXT(E4,"000000")</calculatedColumnFormula>
    </tableColumn>
    <tableColumn id="2" xr3:uid="{F3B22258-5AB7-4D27-8B84-64D7E8CA778D}" name="iskola"/>
    <tableColumn id="3" xr3:uid="{9F969AAE-36DB-4A2C-B0E0-40F2D95C9703}" name="isknev"/>
    <tableColumn id="7" xr3:uid="{B7A05F07-2C9D-42BA-97E5-5366A4BE2404}" name="cim_ossze"/>
    <tableColumn id="5" xr3:uid="{6A09047A-B5C4-4CE6-83EB-BEB907B2FF1F}" name="irsz"/>
    <tableColumn id="9" xr3:uid="{CE24D495-E27D-47E9-B5E5-607924C871EF}" name="mail"/>
    <tableColumn id="10" xr3:uid="{B048A484-CC25-461F-9FF5-3BBFFB43F4D6}" name="telefon"/>
    <tableColumn id="4" xr3:uid="{C04DF027-7AB6-41D6-B42D-F27A461C8F43}" name="dupla" dataDxfId="73">
      <calculatedColumnFormula>COUNTIF(iskola[[#This Row],[isknev]],iskola[[#This Row],[isknev]])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484021-2D8B-4A7E-903D-D129F627A6BA}" name="szovegek" displayName="szovegek" ref="N3:Y7" totalsRowShown="0">
  <autoFilter ref="N3:Y7" xr:uid="{40484021-2D8B-4A7E-903D-D129F627A6BA}"/>
  <tableColumns count="12">
    <tableColumn id="1" xr3:uid="{45069DFC-4FF2-450F-9328-C744F876E6D7}" name="kategoria"/>
    <tableColumn id="6" xr3:uid="{E6F8210B-3FBD-40AD-BC34-8A227A93B18B}" name="orommel"/>
    <tableColumn id="7" xr3:uid="{7028AF2A-CC1C-4BE1-B658-4412DC403E34}" name="gratula"/>
    <tableColumn id="5" xr3:uid="{BEA42339-16CB-46E6-839E-970F7EBED25F}" name="megszolit"/>
    <tableColumn id="2" xr3:uid="{BBE5CB74-EB19-4C51-B7ED-ADF605EE6CD1}" name="resz1"/>
    <tableColumn id="3" xr3:uid="{7F1FE8FA-B306-44B8-9E20-573C9180DC01}" name="resz2"/>
    <tableColumn id="4" xr3:uid="{81FE9CF0-E090-4DAA-AC3E-A64BF71761F5}" name="resz3"/>
    <tableColumn id="8" xr3:uid="{4EE94649-851E-41F9-B7EA-F2462C7A2673}" name="indok1"/>
    <tableColumn id="9" xr3:uid="{44DB4CC6-EFE2-4E9A-8D7B-0B1D7D162D7F}" name="indok2"/>
    <tableColumn id="10" xr3:uid="{CAE8764E-F095-4119-944A-F4A4D0DD88FE}" name="hatarozat1"/>
    <tableColumn id="11" xr3:uid="{5177F3E6-4D55-4725-8364-CF9253CC6D0A}" name="hatarozat2"/>
    <tableColumn id="12" xr3:uid="{8D4118EC-2C1D-4090-BC89-5BEE38999E78}" name="hatarozat3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1489099-E2BC-426C-979B-DA714A764AC2}" name="tbl_szabalyok" displayName="tbl_szabalyok" ref="A1:E7" totalsRowShown="0">
  <autoFilter ref="A1:E7" xr:uid="{D1489099-E2BC-426C-979B-DA714A764AC2}"/>
  <tableColumns count="5">
    <tableColumn id="1" xr3:uid="{DD4D594E-502A-47C1-91B2-4234C7BE3E6F}" name="Feltétel_Név"/>
    <tableColumn id="2" xr3:uid="{C70A0A69-6192-464D-8D8F-E12325C94B3B}" name="Oszlop_Név"/>
    <tableColumn id="3" xr3:uid="{7B123B39-4D3E-4E18-8F36-627E4E3DCF9D}" name="Típus"/>
    <tableColumn id="4" xr3:uid="{F607C08E-95D2-4F8C-9AE6-46CA06DA9B29}" name="Súly"/>
    <tableColumn id="5" xr3:uid="{1251FCB2-F425-4734-B939-AC12569FA25E}" name="Aktív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37CFCB6-E782-4CD1-9C51-490B9978DA91}" name="diakadat" displayName="diakadat" ref="A1:AQ252" totalsRowShown="0">
  <autoFilter ref="A1:AQ252" xr:uid="{937CFCB6-E782-4CD1-9C51-490B9978DA91}"/>
  <tableColumns count="43">
    <tableColumn id="2" xr3:uid="{9C29174B-1100-43CB-8756-D03A1623638A}" name="sorsz"/>
    <tableColumn id="3" xr3:uid="{3BFBE75B-CA0B-489A-9ACB-07770A2C62C1}" name="iktsz"/>
    <tableColumn id="4" xr3:uid="{4A55D01B-4348-43B9-8D16-A1C33572286C}" name="bizottsag"/>
    <tableColumn id="5" xr3:uid="{F8F1715D-7F79-4CE5-8925-2216B364D6AF}" name="datum_nap"/>
    <tableColumn id="9" xr3:uid="{8319593E-2EBB-4841-AE04-AEF02E914847}" name="rangsor" dataDxfId="72"/>
    <tableColumn id="10" xr3:uid="{059026E5-C761-4B3A-8772-E8CC27BA550E}" name="idopont_kiadva"/>
    <tableColumn id="11" xr3:uid="{A449F0CD-B2E6-4F6A-8EAC-67687E71A19C}" name="oktazon"/>
    <tableColumn id="12" xr3:uid="{96C4A7EB-FF24-4DCD-BDBD-C9D662E41022}" name="f_nev"/>
    <tableColumn id="36" xr3:uid="{45093671-9865-4394-911A-11F7A306465D}" name="szobeli" dataDxfId="71"/>
    <tableColumn id="13" xr3:uid="{5E44FEB3-DF9D-4FDB-B90F-3214712D4712}" name="f_szul_hely"/>
    <tableColumn id="14" xr3:uid="{BD21BB7A-DBDE-4389-A9E8-A84F2505D117}" name="f_szul_ido"/>
    <tableColumn id="15" xr3:uid="{CA4950E2-8227-4EDA-B553-ECB41C127880}" name="f_a_nev"/>
    <tableColumn id="16" xr3:uid="{32373C65-B875-4513-A0A7-9C926F09C6A1}" name="mail"/>
    <tableColumn id="18" xr3:uid="{DAD49E37-246D-4A5A-AAFC-CB85CB6A3EA4}" name="tel"/>
    <tableColumn id="20" xr3:uid="{779745C1-E575-4565-A932-9A7F2E2AEF50}" name="a_cim"/>
    <tableColumn id="21" xr3:uid="{F834CC65-18A4-44C0-AB74-13C98A170369}" name="ert_nev"/>
    <tableColumn id="22" xr3:uid="{410800DA-B368-4357-9F24-79C690B41078}" name="ert_cim"/>
    <tableColumn id="23" xr3:uid="{3275EAE1-0BD1-4400-9023-158FDCC8DC4D}" name="iskom" dataDxfId="70"/>
    <tableColumn id="24" xr3:uid="{B1666922-1AFA-453B-8235-A30332DC3B08}" name="isknev"/>
    <tableColumn id="25" xr3:uid="{FD303CF1-CA9A-4CDE-BF03-FF6CF34C58A4}" name="i_cim" dataDxfId="69"/>
    <tableColumn id="26" xr3:uid="{A306CAAC-185F-4C73-8DD0-1B8AF6BAE374}" name="i_mail" dataDxfId="68"/>
    <tableColumn id="27" xr3:uid="{72785672-B67D-424B-B8D0-4E26B7AD1730}" name="p_magyar"/>
    <tableColumn id="28" xr3:uid="{5CD6A391-B75C-47F2-884C-1508925EAF67}" name="p_matek"/>
    <tableColumn id="29" xr3:uid="{5DEAB410-26C6-49F3-A011-C3E08CBF53D6}" name="irasbeliossz" dataDxfId="67"/>
    <tableColumn id="30" xr3:uid="{6DB97D88-8F24-4AFC-AED4-52721FA4D590}" name="irasbeliossz+szorzo" dataDxfId="66"/>
    <tableColumn id="31" xr3:uid="{80BFACB0-2846-473A-A512-1436287CA9B6}" name="p_bizonyitvany" dataDxfId="65"/>
    <tableColumn id="32" xr3:uid="{01D4B608-5FD9-4D28-B418-EA16637AF26B}" name="biziirasbeliossz" dataDxfId="64"/>
    <tableColumn id="37" xr3:uid="{0711F099-245D-4B55-BB6D-8D3C08CF5EA2}" name="p_mindossz" dataDxfId="63"/>
    <tableColumn id="38" xr3:uid="{253A5202-717C-406C-A8DF-6B4EEBD5F007}" name="f_hatranyos"/>
    <tableColumn id="39" xr3:uid="{19EE955C-30A0-40B8-A45C-A7B7789B90B4}" name="I_ker_irsz"/>
    <tableColumn id="40" xr3:uid="{EDD90977-388F-46F4-ADDD-63557102F711}" name="f_SNI2"/>
    <tableColumn id="41" xr3:uid="{2C155A49-A925-4EF7-8F22-4A895EBC0A7F}" name="f_BTNN"/>
    <tableColumn id="42" xr3:uid="{55E57985-E185-4ACE-AC0F-127349762BAA}" name="f_testver"/>
    <tableColumn id="43" xr3:uid="{2EEA750B-C9E5-470E-8C33-51EFF92B51DC}" name="f_jelige"/>
    <tableColumn id="44" xr3:uid="{57D95F2A-116D-41A8-84B5-9499CDD36802}" name="j_1000"/>
    <tableColumn id="45" xr3:uid="{2F012FAC-12BC-4740-A5C4-5C4535A643DC}" name="j_2000"/>
    <tableColumn id="46" xr3:uid="{0B8CF8F0-CCEA-46AA-876E-6F91916FA569}" name="j_3000"/>
    <tableColumn id="47" xr3:uid="{12597212-F5F8-44BA-97B0-C38C41B31B69}" name="j_4000"/>
    <tableColumn id="48" xr3:uid="{F0C981D3-1678-4E57-8F57-6D934B4BBD01}" name="megjegyzes"/>
    <tableColumn id="49" xr3:uid="{25AAA139-9C87-4382-B884-65492790016E}" name="sajat megjegyzes"/>
    <tableColumn id="50" xr3:uid="{66FBC12F-7387-43BD-9E3E-5E0CEB9E7800}" name="jelszo"/>
    <tableColumn id="51" xr3:uid="{61EBFEC0-AFBE-43DF-B677-D0ECDBF8F850}" name="file_url"/>
    <tableColumn id="17" xr3:uid="{502BB285-73C5-410D-925A-95F66A174FB9}" name="exported"/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A651FF-AE10-4A40-961F-C4CA6A5BDC07}" name="rangsor" displayName="rangsor" ref="A1:M253" totalsRowCount="1" dataDxfId="58">
  <autoFilter ref="A1:M252" xr:uid="{EBA651FF-AE10-4A40-961F-C4CA6A5BDC07}"/>
  <tableColumns count="13">
    <tableColumn id="1" xr3:uid="{3D1C19ED-49BB-4890-AEF5-829C3AC9BA9F}" name="nev" totalsRowLabel="Összeg" dataDxfId="57"/>
    <tableColumn id="10" xr3:uid="{F3F0D8CF-1492-445D-942F-DFAE2A98FB4B}" name="oktazon" dataDxfId="56"/>
    <tableColumn id="11" xr3:uid="{651C14F8-B0CC-4B08-8792-0BB4B6C2C524}" name="tagozat" dataDxfId="55"/>
    <tableColumn id="3" xr3:uid="{680E5D0F-E190-4A2D-BBF6-8BB8349B3E44}" name="felvesz" totalsRowFunction="count" dataDxfId="54"/>
    <tableColumn id="4" xr3:uid="{94CDC470-581B-4D9A-BEE9-BF22B38DEFC0}" name="mastvalaszt" totalsRowFunction="count" dataDxfId="53"/>
    <tableColumn id="2" xr3:uid="{6562D3E8-4D14-4863-AE57-F840E08160AE}" name="elut" totalsRowFunction="count" dataDxfId="52"/>
    <tableColumn id="12" xr3:uid="{39489686-0BF9-45FA-B111-BB3C01E55EA6}" name="visszalepett" totalsRowFunction="count" dataDxfId="51"/>
    <tableColumn id="5" xr3:uid="{A796697C-EE11-40BA-B926-DB6C168AAA72}" name="j_1000" dataDxfId="50"/>
    <tableColumn id="6" xr3:uid="{25B0BFD5-69F7-4522-92DC-DF947379AB9B}" name="j_2000" dataDxfId="49"/>
    <tableColumn id="7" xr3:uid="{4B59168D-96EA-42F2-A0F1-81F706BDFDF8}" name="j_3000" dataDxfId="48"/>
    <tableColumn id="8" xr3:uid="{AE8466D8-6F20-4363-B28F-36B45A5149C6}" name="j_4000" dataDxfId="47"/>
    <tableColumn id="9" xr3:uid="{1DEBBFDF-73E5-4273-B30E-866D9CBA92BE}" name="irasbeliossz" dataDxfId="46"/>
    <tableColumn id="13" xr3:uid="{EE61E56C-D481-4329-AA95-CE8B1274ADCC}" name="p_mindossz" dataDxfId="45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4C2980-CC71-47FB-9953-7C4A008A0FCD}" name="lista" displayName="lista" ref="D1:AJ21" totalsRowShown="0" headerRowDxfId="44">
  <autoFilter ref="D1:AJ21" xr:uid="{F74C2980-CC71-47FB-9953-7C4A008A0FCD}"/>
  <tableColumns count="33">
    <tableColumn id="38" xr3:uid="{475FE445-1F91-434D-A4A7-612680705CD7}" name="idx" dataDxfId="43">
      <calculatedColumnFormula array="1">ROW()-ROW(lista[#Headers])</calculatedColumnFormula>
    </tableColumn>
    <tableColumn id="1" xr3:uid="{2039DBBB-864C-42BB-B2D9-FF6104810572}" name="nev" dataDxfId="42">
      <calculatedColumnFormula array="1">SzuressNev($B$1,lista[[#This Row],[idx]])</calculatedColumnFormula>
    </tableColumn>
    <tableColumn id="2" xr3:uid="{50D0376D-86EE-413B-A97D-8F26EDC661D4}" name="seged" dataDxfId="41">
      <calculatedColumnFormula>COUNTIF($E$2:E2,E2)</calculatedColumnFormula>
    </tableColumn>
    <tableColumn id="3" xr3:uid="{D7EFBEFD-5F93-4805-9CE0-E275F3558E90}" name="ok" dataDxfId="40">
      <calculatedColumnFormula array="1">SzuressOk($B$1,lista[[#This Row],[idx]])</calculatedColumnFormula>
    </tableColumn>
    <tableColumn id="4" xr3:uid="{CE230961-6ABB-4308-AB11-14E0A24741FD}" name="oktazon" dataDxfId="39">
      <calculatedColumnFormula array="1">SzuressOktazon($B$1,lista[[#This Row],[idx]])</calculatedColumnFormula>
    </tableColumn>
    <tableColumn id="5" xr3:uid="{D5230C5C-BB9E-4C2F-AF39-1FC48D77E550}" name="a_nev" dataDxfId="38">
      <calculatedColumnFormula>IFERROR(INDEX(diakadat!$L$2:$L$252,MATCH(E2,diakadat!$H$2:$H$252,0),1),"")</calculatedColumnFormula>
    </tableColumn>
    <tableColumn id="7" xr3:uid="{5BB5CB5B-4073-418E-A568-9FBACF02D6D5}" name="email" dataDxfId="37">
      <calculatedColumnFormula>IFERROR(INDEX(diakadat!#REF!,MATCH(E2,diakadat!$H$2:$H$252,0),1),"")</calculatedColumnFormula>
    </tableColumn>
    <tableColumn id="8" xr3:uid="{79C7E0CB-8EFC-43C8-8235-26818F171B1F}" name="sz_h" dataDxfId="36">
      <calculatedColumnFormula>IFERROR(INDEX(diakadat!$J$2:$J$252,MATCH(E2,diakadat!$H$2:$H$252,0),1),"")</calculatedColumnFormula>
    </tableColumn>
    <tableColumn id="10" xr3:uid="{B621B9E0-B1B7-4D2E-827E-91E30C1D34D8}" name="szul_i" dataDxfId="35">
      <calculatedColumnFormula array="1">IFERROR(DatumSzovegge2(INDEX(diakadat!$K$2:$K$252,MATCH(E2,diakadat!$H$2:$H$252,0),1)),"")</calculatedColumnFormula>
    </tableColumn>
    <tableColumn id="6" xr3:uid="{2F97059A-7410-4645-9CFF-A30740D2F7FB}" name="osszpont" dataDxfId="34">
      <calculatedColumnFormula>IFERROR(INDEX(diakadat!$AB$2:$AB$252,MATCH(E2,diakadat!$H$2:$H$252,0),1),"")</calculatedColumnFormula>
    </tableColumn>
    <tableColumn id="21" xr3:uid="{EAD40131-947C-4CFE-A5EA-68A05DDDFA05}" name="tagozat" dataDxfId="33">
      <calculatedColumnFormula>IFERROR(INDEX('rangsor'!$C$2:$C$252,MATCH(E2,'rangsor'!$A$2:$A$252,0),1),"")</calculatedColumnFormula>
    </tableColumn>
    <tableColumn id="22" xr3:uid="{9526D5E2-A1A6-429B-AAC8-D2ED35426FC8}" name="ny_1" dataDxfId="32"/>
    <tableColumn id="24" xr3:uid="{30C9FBF1-1581-416D-930C-9EEF57BC68DA}" name="ny_2" dataDxfId="31"/>
    <tableColumn id="25" xr3:uid="{2FE06792-E9E9-4EF2-AED2-E814FDAEE758}" name="ny_osszefuz" dataDxfId="30"/>
    <tableColumn id="26" xr3:uid="{FF19DDC9-D978-4882-A8E8-A16C224BBC34}" name="targy" dataDxfId="29">
      <calculatedColumnFormula array="1">Határozat(E2)</calculatedColumnFormula>
    </tableColumn>
    <tableColumn id="27" xr3:uid="{905FD96D-E2A2-499A-B127-0426C4FD3BFA}" name="szoveg" dataDxfId="28"/>
    <tableColumn id="28" xr3:uid="{024A09B8-1B65-4A41-89B1-326C08A2FA75}" name="indok" dataDxfId="27"/>
    <tableColumn id="29" xr3:uid="{B1C8EF9E-5990-401F-9801-96355933F6A0}" name="orommel" dataDxfId="26"/>
    <tableColumn id="30" xr3:uid="{1009CD69-4D7C-4813-B78E-A910D73B4EAE}" name="megszolit" dataDxfId="25"/>
    <tableColumn id="31" xr3:uid="{1CA85BE0-E372-4B6D-BACA-60357694B665}" name="gratula" dataDxfId="24"/>
    <tableColumn id="32" xr3:uid="{E11AABC4-BF2C-49F4-97D9-C58531E36B05}" name="hatarozat" dataDxfId="23"/>
    <tableColumn id="33" xr3:uid="{0FB3C78F-CF95-4566-BAB6-13037011F7B9}" name="felvi_2" dataDxfId="22"/>
    <tableColumn id="34" xr3:uid="{49C1D1B1-09C6-4E65-A2A5-74BD50E7BCF7}" name="isk_nev" dataDxfId="21">
      <calculatedColumnFormula>IFERROR(INDEX(diakadat!$S$2:$S$252,MATCH(E2,diakadat!$H$2:$H$252),1),"")</calculatedColumnFormula>
    </tableColumn>
    <tableColumn id="37" xr3:uid="{497FADA2-BC48-45C8-BEB7-2357D0CBE3AA}" name="isk_mail" dataDxfId="20">
      <calculatedColumnFormula>IFERROR(INDEX(diakadat!$U$2:$U$252,MATCH(E2,diakadat!$H$2:$H$252),1),"")</calculatedColumnFormula>
    </tableColumn>
    <tableColumn id="39" xr3:uid="{6D3C579C-EDB3-4505-9ECA-995999124503}" name="iktsz" dataDxfId="19"/>
    <tableColumn id="45" xr3:uid="{CCFFBC07-DB43-4DC9-9624-D8BEBF4F7B6D}" name="darab" dataDxfId="18">
      <calculatedColumnFormula>COUNTIF($Z$2:$Z$21,Z2)</calculatedColumnFormula>
    </tableColumn>
    <tableColumn id="46" xr3:uid="{6D856BBC-B577-46F5-BD09-063BF5536085}" name="ny_1_nagy" dataDxfId="17">
      <calculatedColumnFormula array="1">ElsoBetuNagy(O2)</calculatedColumnFormula>
    </tableColumn>
    <tableColumn id="49" xr3:uid="{E4C0199A-3F8D-454D-B396-0D9CC2D334F6}" name="jelszo" dataDxfId="16"/>
    <tableColumn id="14" xr3:uid="{2909DDAE-6922-49A1-B993-A4DBE4832173}" name="d_evossz" dataDxfId="15"/>
    <tableColumn id="15" xr3:uid="{76B3F045-449F-4A56-858F-674B49AC56F9}" name="d_ev" dataDxfId="14">
      <calculatedColumnFormula array="1">DatumSzovegge5(AF2)</calculatedColumnFormula>
    </tableColumn>
    <tableColumn id="16" xr3:uid="{4281AEF6-00BA-499D-B24A-41EB2BF3200A}" name="d_ho" dataDxfId="13">
      <calculatedColumnFormula array="1">DatumSzovegge3(AF2)</calculatedColumnFormula>
    </tableColumn>
    <tableColumn id="17" xr3:uid="{37892849-3BBF-4443-8436-DB4B69F656E5}" name="d_nap" dataDxfId="12">
      <calculatedColumnFormula array="1">DatumSzovegge4(AF2)</calculatedColumnFormula>
    </tableColumn>
    <tableColumn id="18" xr3:uid="{A1C81DE2-706F-43FE-8EA9-F20CED0D4CEB}" name="d_varos" dataDxfId="11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0925165-89FC-4E08-9236-B931EE5D3C31}" name="tagozatokszures" displayName="tagozatokszures" ref="D1:G12" totalsRowShown="0">
  <autoFilter ref="D1:G12" xr:uid="{C0925165-89FC-4E08-9236-B931EE5D3C31}"/>
  <sortState xmlns:xlrd2="http://schemas.microsoft.com/office/spreadsheetml/2017/richdata2" ref="D2:G12">
    <sortCondition descending="1" ref="F2:F12"/>
    <sortCondition ref="G2:G12"/>
  </sortState>
  <tableColumns count="4">
    <tableColumn id="1" xr3:uid="{E0EB35C0-C508-43F5-91F6-E7167DC52E60}" name="nev"/>
    <tableColumn id="2" xr3:uid="{960F844F-F157-48DD-BC00-C1349848051A}" name="oktazon"/>
    <tableColumn id="3" xr3:uid="{31F047F5-90F0-4A0F-882E-4118BD655913}" name="osszpont"/>
    <tableColumn id="4" xr3:uid="{035654D5-E6C9-4D27-84FD-F3CD443EAFF2}" name="szamitott_rang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AF30D3-6AE9-46DF-860A-EC0E5BD5B75E}" name="eselyesek_tbl" displayName="eselyesek_tbl" ref="C1:P166" totalsRowShown="0" tableBorderDxfId="10">
  <autoFilter ref="C1:P166" xr:uid="{ECAF30D3-6AE9-46DF-860A-EC0E5BD5B75E}"/>
  <tableColumns count="14">
    <tableColumn id="1" xr3:uid="{55AD4A94-B899-4BEF-80C6-EBDC07D82EFE}" name="sorszam" dataDxfId="9"/>
    <tableColumn id="2" xr3:uid="{F3052040-2DDD-48B4-BF4B-4C34529A449F}" name="oktazon" dataDxfId="8"/>
    <tableColumn id="3" xr3:uid="{9E781F8B-A395-454C-9A2C-27E2A35D0B0D}" name="f_nev" dataDxfId="7"/>
    <tableColumn id="4" xr3:uid="{F2C58F7C-07AF-4D89-B5D7-2952C42360BE}" name="irasbeliossz" dataDxfId="6"/>
    <tableColumn id="5" xr3:uid="{8B03598B-7687-4340-AE2F-0EA206A21A08}" name="biziirasbeliossz" dataDxfId="5"/>
    <tableColumn id="6" xr3:uid="{2AAA487C-5FAB-44E0-9BE3-8F1ACEA25F8D}" name="szobeli" dataDxfId="4"/>
    <tableColumn id="7" xr3:uid="{702C163E-64E2-4AD8-8C85-983CF2EF51EE}" name="kuszob_iras" dataDxfId="3"/>
    <tableColumn id="8" xr3:uid="{3E032102-D4B2-4D22-A3BD-901039C9654C}" name="kuszob_bizi"/>
    <tableColumn id="9" xr3:uid="{33F9C8F2-A7BD-46FA-90AE-4D3BA900C668}" name="kuszob_szobeli"/>
    <tableColumn id="10" xr3:uid="{0F516B61-47FE-4FE2-A53B-CC6CF9B74230}" name="hiany_iras"/>
    <tableColumn id="11" xr3:uid="{7D9377D7-A0EF-4790-BBBA-B3E79150D84B}" name="hiany_bizi"/>
    <tableColumn id="12" xr3:uid="{BC77BE4A-6000-4A88-8259-4FBA5796F154}" name="hiany_szobeli"/>
    <tableColumn id="13" xr3:uid="{0A3CCE0D-5576-45E3-A256-C3E3D19EE4DC}" name="hiany_min"/>
    <tableColumn id="14" xr3:uid="{398F6BB6-9AD3-4B89-9EF9-01C0CD9022E4}" name="bekerulhe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841A9F-2103-4504-AF99-DCA7406B4015}" name="tbl_idopontok" displayName="tbl_idopontok" ref="A1:B19" totalsRowShown="0" headerRowDxfId="2">
  <autoFilter ref="A1:B19" xr:uid="{90841A9F-2103-4504-AF99-DCA7406B4015}"/>
  <tableColumns count="2">
    <tableColumn id="1" xr3:uid="{9DAA8E8E-06FD-4849-B8CE-5CC3BCD3FF3A}" name="datum_nap" dataDxfId="1"/>
    <tableColumn id="2" xr3:uid="{5975F5D6-FBC5-4995-8E81-06DE0D74D97C}" name="akt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iskola@pirosiskola.hu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table" Target="../tables/table2.xml"/><Relationship Id="rId2" Type="http://schemas.openxmlformats.org/officeDocument/2006/relationships/hyperlink" Target="mailto:igazgato@budajeno.edu.hu" TargetMode="External"/><Relationship Id="rId1" Type="http://schemas.openxmlformats.org/officeDocument/2006/relationships/hyperlink" Target="mailto:koskaroly@iskola.kispest.hu" TargetMode="External"/><Relationship Id="rId6" Type="http://schemas.openxmlformats.org/officeDocument/2006/relationships/hyperlink" Target="mailto:info@almosvezer.hu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info@almosvezer.hu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iskola.tomori@gmail.com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erenata.pocsi@gmail.com" TargetMode="External"/><Relationship Id="rId3" Type="http://schemas.openxmlformats.org/officeDocument/2006/relationships/hyperlink" Target="mailto:zs.kispal@gmail.com" TargetMode="External"/><Relationship Id="rId7" Type="http://schemas.openxmlformats.org/officeDocument/2006/relationships/hyperlink" Target="mailto:klara.verebelyi@gmail.com" TargetMode="External"/><Relationship Id="rId2" Type="http://schemas.openxmlformats.org/officeDocument/2006/relationships/hyperlink" Target="mailto:ildiko.becze.s@gmail.com" TargetMode="External"/><Relationship Id="rId1" Type="http://schemas.openxmlformats.org/officeDocument/2006/relationships/hyperlink" Target="mailto:lexviktoria@gmail.com" TargetMode="External"/><Relationship Id="rId6" Type="http://schemas.openxmlformats.org/officeDocument/2006/relationships/hyperlink" Target="mailto:vuvuka@gmail.com" TargetMode="External"/><Relationship Id="rId5" Type="http://schemas.openxmlformats.org/officeDocument/2006/relationships/hyperlink" Target="mailto:kovacs.balazs22@gmail.com" TargetMode="External"/><Relationship Id="rId4" Type="http://schemas.openxmlformats.org/officeDocument/2006/relationships/hyperlink" Target="mailto:zs.kispal@gmail.com" TargetMode="External"/><Relationship Id="rId9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2CC5E-0A96-471B-BD8E-3F8CEB21302D}">
  <sheetPr codeName="Munka4"/>
  <dimension ref="A3:Y219"/>
  <sheetViews>
    <sheetView topLeftCell="R1" zoomScaleNormal="100" workbookViewId="0">
      <selection activeCell="B4" sqref="B4"/>
    </sheetView>
  </sheetViews>
  <sheetFormatPr defaultRowHeight="15" x14ac:dyDescent="0.25"/>
  <cols>
    <col min="1" max="1" width="13.140625" customWidth="1"/>
    <col min="2" max="2" width="12.42578125" customWidth="1"/>
    <col min="3" max="3" width="3.42578125" customWidth="1"/>
    <col min="4" max="4" width="12.42578125" customWidth="1"/>
    <col min="6" max="6" width="66" customWidth="1"/>
    <col min="7" max="7" width="42.42578125" customWidth="1"/>
    <col min="8" max="8" width="34.42578125" customWidth="1"/>
    <col min="9" max="10" width="30.42578125" bestFit="1" customWidth="1"/>
    <col min="11" max="11" width="13.85546875" customWidth="1"/>
    <col min="13" max="13" width="11.42578125" bestFit="1" customWidth="1"/>
    <col min="14" max="14" width="12.42578125" bestFit="1" customWidth="1"/>
    <col min="15" max="15" width="62.140625" customWidth="1"/>
    <col min="16" max="16" width="11.140625" bestFit="1" customWidth="1"/>
    <col min="17" max="17" width="27.42578125" bestFit="1" customWidth="1"/>
    <col min="18" max="18" width="179.140625" bestFit="1" customWidth="1"/>
    <col min="19" max="19" width="32.42578125" bestFit="1" customWidth="1"/>
  </cols>
  <sheetData>
    <row r="3" spans="1:25" x14ac:dyDescent="0.25">
      <c r="B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N3" t="s">
        <v>9</v>
      </c>
      <c r="O3" t="s">
        <v>10</v>
      </c>
      <c r="P3" t="s">
        <v>11</v>
      </c>
      <c r="Q3" t="s">
        <v>12</v>
      </c>
      <c r="R3" t="s">
        <v>13</v>
      </c>
      <c r="S3" t="s">
        <v>14</v>
      </c>
      <c r="T3" t="s">
        <v>15</v>
      </c>
      <c r="U3" t="s">
        <v>16</v>
      </c>
      <c r="V3" t="s">
        <v>17</v>
      </c>
      <c r="W3" t="s">
        <v>18</v>
      </c>
      <c r="X3" t="s">
        <v>19</v>
      </c>
      <c r="Y3" t="s">
        <v>20</v>
      </c>
    </row>
    <row r="4" spans="1:25" x14ac:dyDescent="0.25">
      <c r="B4" t="s">
        <v>21</v>
      </c>
      <c r="D4" t="str">
        <f t="shared" ref="D4:D35" si="0">TEXT(E4,"000000")</f>
        <v>037728</v>
      </c>
      <c r="E4">
        <v>37728</v>
      </c>
      <c r="F4" t="s">
        <v>22</v>
      </c>
      <c r="G4" t="s">
        <v>23</v>
      </c>
      <c r="H4" t="s">
        <v>5</v>
      </c>
      <c r="I4" t="s">
        <v>24</v>
      </c>
      <c r="J4" t="s">
        <v>25</v>
      </c>
      <c r="K4">
        <v>1</v>
      </c>
      <c r="N4" t="s">
        <v>21</v>
      </c>
      <c r="O4" t="s">
        <v>26</v>
      </c>
      <c r="P4" t="s">
        <v>27</v>
      </c>
      <c r="Q4" t="s">
        <v>28</v>
      </c>
      <c r="R4" t="s">
        <v>29</v>
      </c>
      <c r="S4" t="s">
        <v>30</v>
      </c>
      <c r="T4" t="s">
        <v>31</v>
      </c>
      <c r="U4" t="s">
        <v>32</v>
      </c>
      <c r="V4" t="s">
        <v>33</v>
      </c>
      <c r="W4" t="s">
        <v>34</v>
      </c>
      <c r="X4" t="s">
        <v>35</v>
      </c>
      <c r="Y4" t="s">
        <v>36</v>
      </c>
    </row>
    <row r="5" spans="1:25" x14ac:dyDescent="0.25">
      <c r="B5" t="s">
        <v>37</v>
      </c>
      <c r="D5" t="str">
        <f t="shared" si="0"/>
        <v>034997</v>
      </c>
      <c r="E5">
        <v>34997</v>
      </c>
      <c r="F5" t="s">
        <v>38</v>
      </c>
      <c r="G5" t="s">
        <v>39</v>
      </c>
      <c r="I5" t="s">
        <v>40</v>
      </c>
      <c r="J5" t="s">
        <v>41</v>
      </c>
      <c r="K5">
        <v>1</v>
      </c>
      <c r="N5" t="s">
        <v>42</v>
      </c>
      <c r="R5" t="s">
        <v>43</v>
      </c>
    </row>
    <row r="6" spans="1:25" x14ac:dyDescent="0.25">
      <c r="B6" t="s">
        <v>1052</v>
      </c>
      <c r="D6" t="str">
        <f t="shared" si="0"/>
        <v>034798</v>
      </c>
      <c r="E6">
        <v>34798</v>
      </c>
      <c r="F6" t="s">
        <v>44</v>
      </c>
      <c r="G6" t="s">
        <v>45</v>
      </c>
      <c r="I6" t="s">
        <v>46</v>
      </c>
      <c r="J6" t="s">
        <v>47</v>
      </c>
      <c r="K6">
        <v>1</v>
      </c>
      <c r="N6" t="s">
        <v>0</v>
      </c>
      <c r="R6" t="s">
        <v>48</v>
      </c>
      <c r="S6" t="s">
        <v>49</v>
      </c>
    </row>
    <row r="7" spans="1:25" x14ac:dyDescent="0.25">
      <c r="D7" t="str">
        <f t="shared" si="0"/>
        <v>035314</v>
      </c>
      <c r="E7">
        <v>35314</v>
      </c>
      <c r="F7" t="s">
        <v>50</v>
      </c>
      <c r="G7" t="s">
        <v>51</v>
      </c>
      <c r="I7" s="3" t="s">
        <v>52</v>
      </c>
      <c r="J7" s="3">
        <v>612226521</v>
      </c>
      <c r="K7">
        <v>1</v>
      </c>
      <c r="N7" t="s">
        <v>53</v>
      </c>
      <c r="R7" t="s">
        <v>54</v>
      </c>
    </row>
    <row r="8" spans="1:25" x14ac:dyDescent="0.25">
      <c r="B8">
        <v>1000</v>
      </c>
      <c r="D8" t="str">
        <f t="shared" si="0"/>
        <v>100566</v>
      </c>
      <c r="E8">
        <v>100566</v>
      </c>
      <c r="F8" t="s">
        <v>55</v>
      </c>
      <c r="G8" t="s">
        <v>56</v>
      </c>
      <c r="I8" t="s">
        <v>57</v>
      </c>
      <c r="J8">
        <v>3427773</v>
      </c>
      <c r="K8">
        <v>1</v>
      </c>
    </row>
    <row r="9" spans="1:25" x14ac:dyDescent="0.25">
      <c r="B9">
        <v>2000</v>
      </c>
      <c r="D9" t="str">
        <f t="shared" si="0"/>
        <v>034840</v>
      </c>
      <c r="E9">
        <v>34840</v>
      </c>
      <c r="F9" t="s">
        <v>58</v>
      </c>
      <c r="G9" t="s">
        <v>59</v>
      </c>
      <c r="I9" t="s">
        <v>60</v>
      </c>
      <c r="J9" t="s">
        <v>61</v>
      </c>
      <c r="K9">
        <v>1</v>
      </c>
    </row>
    <row r="10" spans="1:25" x14ac:dyDescent="0.25">
      <c r="B10">
        <v>3000</v>
      </c>
      <c r="D10" t="str">
        <f t="shared" si="0"/>
        <v>032355</v>
      </c>
      <c r="E10">
        <v>32355</v>
      </c>
      <c r="F10" t="s">
        <v>62</v>
      </c>
      <c r="G10" t="s">
        <v>63</v>
      </c>
      <c r="I10" t="s">
        <v>64</v>
      </c>
      <c r="J10" t="s">
        <v>65</v>
      </c>
      <c r="K10">
        <v>1</v>
      </c>
    </row>
    <row r="11" spans="1:25" x14ac:dyDescent="0.25">
      <c r="B11">
        <v>4000</v>
      </c>
      <c r="D11" t="str">
        <f t="shared" si="0"/>
        <v>034848</v>
      </c>
      <c r="E11">
        <v>34848</v>
      </c>
      <c r="F11" t="s">
        <v>66</v>
      </c>
      <c r="G11" t="s">
        <v>67</v>
      </c>
      <c r="I11" t="s">
        <v>68</v>
      </c>
      <c r="J11" t="s">
        <v>69</v>
      </c>
      <c r="K11">
        <v>1</v>
      </c>
    </row>
    <row r="12" spans="1:25" x14ac:dyDescent="0.25">
      <c r="D12" t="str">
        <f t="shared" si="0"/>
        <v>035191</v>
      </c>
      <c r="E12">
        <v>35191</v>
      </c>
      <c r="F12" t="s">
        <v>70</v>
      </c>
      <c r="G12" t="s">
        <v>71</v>
      </c>
      <c r="I12" t="s">
        <v>72</v>
      </c>
      <c r="J12" t="s">
        <v>73</v>
      </c>
      <c r="K12">
        <v>1</v>
      </c>
    </row>
    <row r="13" spans="1:25" x14ac:dyDescent="0.25">
      <c r="D13" t="str">
        <f t="shared" si="0"/>
        <v>202925</v>
      </c>
      <c r="E13">
        <v>202925</v>
      </c>
      <c r="F13" t="s">
        <v>74</v>
      </c>
      <c r="G13" t="s">
        <v>75</v>
      </c>
      <c r="I13" t="s">
        <v>76</v>
      </c>
      <c r="J13" t="s">
        <v>77</v>
      </c>
      <c r="K13">
        <v>1</v>
      </c>
    </row>
    <row r="14" spans="1:25" x14ac:dyDescent="0.25">
      <c r="A14">
        <v>160</v>
      </c>
      <c r="B14" t="s">
        <v>78</v>
      </c>
      <c r="D14" t="str">
        <f t="shared" si="0"/>
        <v>034937</v>
      </c>
      <c r="E14">
        <v>34937</v>
      </c>
      <c r="F14" t="s">
        <v>79</v>
      </c>
      <c r="G14" t="s">
        <v>80</v>
      </c>
      <c r="I14" t="s">
        <v>81</v>
      </c>
      <c r="J14" t="s">
        <v>82</v>
      </c>
      <c r="K14">
        <v>1</v>
      </c>
    </row>
    <row r="15" spans="1:25" x14ac:dyDescent="0.25">
      <c r="D15" t="str">
        <f t="shared" si="0"/>
        <v>032616</v>
      </c>
      <c r="E15">
        <v>32616</v>
      </c>
      <c r="F15" t="s">
        <v>83</v>
      </c>
      <c r="G15" t="s">
        <v>84</v>
      </c>
      <c r="I15" t="s">
        <v>85</v>
      </c>
      <c r="J15" t="s">
        <v>86</v>
      </c>
      <c r="K15">
        <v>1</v>
      </c>
    </row>
    <row r="16" spans="1:25" x14ac:dyDescent="0.25">
      <c r="D16" t="str">
        <f t="shared" si="0"/>
        <v>030166</v>
      </c>
      <c r="E16">
        <v>30166</v>
      </c>
      <c r="F16" t="s">
        <v>87</v>
      </c>
      <c r="G16" t="s">
        <v>88</v>
      </c>
      <c r="I16" t="s">
        <v>89</v>
      </c>
      <c r="J16" t="s">
        <v>90</v>
      </c>
      <c r="K16">
        <v>1</v>
      </c>
    </row>
    <row r="17" spans="1:11" x14ac:dyDescent="0.25">
      <c r="D17" t="str">
        <f t="shared" si="0"/>
        <v>200415</v>
      </c>
      <c r="E17">
        <v>200415</v>
      </c>
      <c r="F17" t="s">
        <v>91</v>
      </c>
      <c r="G17" t="s">
        <v>92</v>
      </c>
      <c r="I17" t="s">
        <v>93</v>
      </c>
      <c r="J17" t="s">
        <v>94</v>
      </c>
      <c r="K17">
        <v>1</v>
      </c>
    </row>
    <row r="18" spans="1:11" x14ac:dyDescent="0.25">
      <c r="D18" t="str">
        <f t="shared" si="0"/>
        <v>035328</v>
      </c>
      <c r="E18">
        <v>35328</v>
      </c>
      <c r="F18" t="s">
        <v>95</v>
      </c>
      <c r="G18" t="s">
        <v>96</v>
      </c>
      <c r="I18" t="s">
        <v>97</v>
      </c>
      <c r="J18" t="s">
        <v>98</v>
      </c>
      <c r="K18">
        <v>1</v>
      </c>
    </row>
    <row r="19" spans="1:11" x14ac:dyDescent="0.25">
      <c r="A19" s="18"/>
      <c r="D19" t="str">
        <f t="shared" si="0"/>
        <v>035328</v>
      </c>
      <c r="E19">
        <v>35328</v>
      </c>
      <c r="F19" t="s">
        <v>99</v>
      </c>
      <c r="G19" t="s">
        <v>100</v>
      </c>
      <c r="I19" t="s">
        <v>101</v>
      </c>
      <c r="J19" t="s">
        <v>102</v>
      </c>
      <c r="K19">
        <v>1</v>
      </c>
    </row>
    <row r="20" spans="1:11" x14ac:dyDescent="0.25">
      <c r="D20" t="str">
        <f t="shared" si="0"/>
        <v>032441</v>
      </c>
      <c r="E20">
        <v>32441</v>
      </c>
      <c r="F20" t="s">
        <v>103</v>
      </c>
      <c r="G20" t="s">
        <v>104</v>
      </c>
      <c r="I20" t="s">
        <v>105</v>
      </c>
      <c r="J20" t="s">
        <v>106</v>
      </c>
      <c r="K20">
        <v>1</v>
      </c>
    </row>
    <row r="21" spans="1:11" x14ac:dyDescent="0.25">
      <c r="D21" t="str">
        <f t="shared" si="0"/>
        <v>038948</v>
      </c>
      <c r="E21">
        <v>38948</v>
      </c>
      <c r="F21" t="s">
        <v>107</v>
      </c>
      <c r="G21" t="s">
        <v>108</v>
      </c>
      <c r="I21" t="s">
        <v>109</v>
      </c>
      <c r="J21" t="s">
        <v>110</v>
      </c>
      <c r="K21">
        <v>1</v>
      </c>
    </row>
    <row r="22" spans="1:11" x14ac:dyDescent="0.25">
      <c r="D22" t="str">
        <f t="shared" si="0"/>
        <v>032447</v>
      </c>
      <c r="E22">
        <v>32447</v>
      </c>
      <c r="F22" t="s">
        <v>111</v>
      </c>
      <c r="G22" t="s">
        <v>112</v>
      </c>
      <c r="I22" t="s">
        <v>113</v>
      </c>
      <c r="J22" t="s">
        <v>114</v>
      </c>
      <c r="K22">
        <v>1</v>
      </c>
    </row>
    <row r="23" spans="1:11" x14ac:dyDescent="0.25">
      <c r="D23" t="str">
        <f t="shared" si="0"/>
        <v>200202</v>
      </c>
      <c r="E23">
        <v>200202</v>
      </c>
      <c r="F23" t="s">
        <v>115</v>
      </c>
      <c r="G23" t="s">
        <v>116</v>
      </c>
      <c r="I23" t="s">
        <v>117</v>
      </c>
      <c r="J23">
        <v>3612009971</v>
      </c>
      <c r="K23">
        <v>1</v>
      </c>
    </row>
    <row r="24" spans="1:11" x14ac:dyDescent="0.25">
      <c r="D24" t="str">
        <f t="shared" si="0"/>
        <v>203474</v>
      </c>
      <c r="E24">
        <v>203474</v>
      </c>
      <c r="F24" t="s">
        <v>118</v>
      </c>
      <c r="G24" t="s">
        <v>119</v>
      </c>
      <c r="I24" t="s">
        <v>120</v>
      </c>
      <c r="J24">
        <v>36303103733</v>
      </c>
      <c r="K24">
        <v>1</v>
      </c>
    </row>
    <row r="25" spans="1:11" x14ac:dyDescent="0.25">
      <c r="D25" t="str">
        <f t="shared" si="0"/>
        <v>039879</v>
      </c>
      <c r="E25">
        <v>39879</v>
      </c>
      <c r="F25" t="s">
        <v>121</v>
      </c>
      <c r="G25" t="s">
        <v>122</v>
      </c>
      <c r="I25" t="s">
        <v>123</v>
      </c>
      <c r="J25" t="s">
        <v>124</v>
      </c>
      <c r="K25">
        <v>1</v>
      </c>
    </row>
    <row r="26" spans="1:11" x14ac:dyDescent="0.25">
      <c r="D26" t="str">
        <f t="shared" si="0"/>
        <v>035199</v>
      </c>
      <c r="E26">
        <v>35199</v>
      </c>
      <c r="F26" t="s">
        <v>125</v>
      </c>
      <c r="G26" t="s">
        <v>126</v>
      </c>
      <c r="I26" t="s">
        <v>127</v>
      </c>
      <c r="J26" t="s">
        <v>128</v>
      </c>
      <c r="K26">
        <v>1</v>
      </c>
    </row>
    <row r="27" spans="1:11" x14ac:dyDescent="0.25">
      <c r="D27" t="str">
        <f t="shared" si="0"/>
        <v>035197</v>
      </c>
      <c r="E27">
        <v>35197</v>
      </c>
      <c r="F27" t="s">
        <v>129</v>
      </c>
      <c r="G27" t="s">
        <v>130</v>
      </c>
      <c r="I27" t="s">
        <v>131</v>
      </c>
      <c r="J27" t="s">
        <v>132</v>
      </c>
      <c r="K27">
        <v>1</v>
      </c>
    </row>
    <row r="28" spans="1:11" x14ac:dyDescent="0.25">
      <c r="D28" t="str">
        <f t="shared" si="0"/>
        <v>035202</v>
      </c>
      <c r="E28">
        <v>35202</v>
      </c>
      <c r="F28" t="s">
        <v>133</v>
      </c>
      <c r="G28" t="s">
        <v>134</v>
      </c>
      <c r="I28" t="s">
        <v>135</v>
      </c>
      <c r="J28" t="s">
        <v>136</v>
      </c>
      <c r="K28">
        <v>1</v>
      </c>
    </row>
    <row r="29" spans="1:11" x14ac:dyDescent="0.25">
      <c r="D29" t="str">
        <f t="shared" si="0"/>
        <v>032444</v>
      </c>
      <c r="E29">
        <v>32444</v>
      </c>
      <c r="F29" t="s">
        <v>137</v>
      </c>
      <c r="G29" t="s">
        <v>138</v>
      </c>
      <c r="I29" s="3" t="s">
        <v>139</v>
      </c>
      <c r="J29" t="s">
        <v>140</v>
      </c>
      <c r="K29">
        <v>1</v>
      </c>
    </row>
    <row r="30" spans="1:11" x14ac:dyDescent="0.25">
      <c r="D30" t="str">
        <f t="shared" si="0"/>
        <v>203426</v>
      </c>
      <c r="E30">
        <v>203426</v>
      </c>
      <c r="F30" t="s">
        <v>141</v>
      </c>
      <c r="G30" t="s">
        <v>142</v>
      </c>
      <c r="I30" t="s">
        <v>143</v>
      </c>
      <c r="J30" t="s">
        <v>144</v>
      </c>
      <c r="K30">
        <v>1</v>
      </c>
    </row>
    <row r="31" spans="1:11" x14ac:dyDescent="0.25">
      <c r="D31" t="str">
        <f t="shared" si="0"/>
        <v>032445</v>
      </c>
      <c r="E31">
        <v>32445</v>
      </c>
      <c r="F31" t="s">
        <v>145</v>
      </c>
      <c r="G31" t="s">
        <v>146</v>
      </c>
      <c r="I31" t="s">
        <v>147</v>
      </c>
      <c r="J31" t="s">
        <v>147</v>
      </c>
      <c r="K31">
        <v>1</v>
      </c>
    </row>
    <row r="32" spans="1:11" x14ac:dyDescent="0.25">
      <c r="D32" t="str">
        <f t="shared" si="0"/>
        <v>037737</v>
      </c>
      <c r="E32">
        <v>37737</v>
      </c>
      <c r="F32" t="s">
        <v>148</v>
      </c>
      <c r="G32" t="s">
        <v>149</v>
      </c>
      <c r="I32" t="s">
        <v>150</v>
      </c>
      <c r="J32" t="s">
        <v>151</v>
      </c>
      <c r="K32">
        <v>1</v>
      </c>
    </row>
    <row r="33" spans="4:11" x14ac:dyDescent="0.25">
      <c r="D33" t="str">
        <f t="shared" si="0"/>
        <v>037738</v>
      </c>
      <c r="E33">
        <v>37738</v>
      </c>
      <c r="F33" t="s">
        <v>152</v>
      </c>
      <c r="G33" t="s">
        <v>153</v>
      </c>
      <c r="I33" t="s">
        <v>154</v>
      </c>
      <c r="J33" t="s">
        <v>155</v>
      </c>
      <c r="K33">
        <v>1</v>
      </c>
    </row>
    <row r="34" spans="4:11" x14ac:dyDescent="0.25">
      <c r="D34" t="str">
        <f t="shared" si="0"/>
        <v>203126</v>
      </c>
      <c r="E34">
        <v>203126</v>
      </c>
      <c r="F34" t="s">
        <v>156</v>
      </c>
      <c r="G34" t="s">
        <v>157</v>
      </c>
      <c r="I34" t="s">
        <v>147</v>
      </c>
      <c r="J34" t="s">
        <v>147</v>
      </c>
      <c r="K34">
        <v>1</v>
      </c>
    </row>
    <row r="35" spans="4:11" x14ac:dyDescent="0.25">
      <c r="D35" t="str">
        <f t="shared" si="0"/>
        <v>034789</v>
      </c>
      <c r="E35">
        <v>34789</v>
      </c>
      <c r="F35" t="s">
        <v>158</v>
      </c>
      <c r="G35" t="s">
        <v>159</v>
      </c>
      <c r="I35" t="s">
        <v>160</v>
      </c>
      <c r="J35" t="s">
        <v>161</v>
      </c>
      <c r="K35">
        <v>1</v>
      </c>
    </row>
    <row r="36" spans="4:11" x14ac:dyDescent="0.25">
      <c r="D36" t="str">
        <f t="shared" ref="D36:D67" si="1">TEXT(E36,"000000")</f>
        <v>034808</v>
      </c>
      <c r="E36">
        <v>34808</v>
      </c>
      <c r="F36" t="s">
        <v>162</v>
      </c>
      <c r="G36" t="s">
        <v>163</v>
      </c>
      <c r="I36" t="s">
        <v>164</v>
      </c>
      <c r="J36" t="s">
        <v>165</v>
      </c>
      <c r="K36">
        <v>1</v>
      </c>
    </row>
    <row r="37" spans="4:11" x14ac:dyDescent="0.25">
      <c r="D37" t="str">
        <f t="shared" si="1"/>
        <v>034847</v>
      </c>
      <c r="E37">
        <v>34847</v>
      </c>
      <c r="F37" t="s">
        <v>166</v>
      </c>
      <c r="G37" t="s">
        <v>167</v>
      </c>
      <c r="I37" t="s">
        <v>168</v>
      </c>
      <c r="J37" t="s">
        <v>169</v>
      </c>
      <c r="K37">
        <v>1</v>
      </c>
    </row>
    <row r="38" spans="4:11" x14ac:dyDescent="0.25">
      <c r="D38" t="str">
        <f t="shared" si="1"/>
        <v>035361</v>
      </c>
      <c r="E38">
        <v>35361</v>
      </c>
      <c r="F38" t="s">
        <v>170</v>
      </c>
      <c r="G38" t="s">
        <v>171</v>
      </c>
      <c r="I38" t="s">
        <v>147</v>
      </c>
      <c r="J38" t="s">
        <v>147</v>
      </c>
      <c r="K38">
        <v>1</v>
      </c>
    </row>
    <row r="39" spans="4:11" x14ac:dyDescent="0.25">
      <c r="D39" t="str">
        <f t="shared" si="1"/>
        <v>034938</v>
      </c>
      <c r="E39">
        <v>34938</v>
      </c>
      <c r="F39" t="s">
        <v>172</v>
      </c>
      <c r="G39" t="s">
        <v>173</v>
      </c>
      <c r="I39" t="s">
        <v>147</v>
      </c>
      <c r="J39" t="s">
        <v>147</v>
      </c>
      <c r="K39">
        <v>1</v>
      </c>
    </row>
    <row r="40" spans="4:11" x14ac:dyDescent="0.25">
      <c r="D40" t="str">
        <f t="shared" si="1"/>
        <v>034939</v>
      </c>
      <c r="E40">
        <v>34939</v>
      </c>
      <c r="F40" t="s">
        <v>174</v>
      </c>
      <c r="G40" t="s">
        <v>175</v>
      </c>
      <c r="I40" t="s">
        <v>176</v>
      </c>
      <c r="J40" t="s">
        <v>177</v>
      </c>
      <c r="K40">
        <v>1</v>
      </c>
    </row>
    <row r="41" spans="4:11" x14ac:dyDescent="0.25">
      <c r="D41" t="str">
        <f t="shared" si="1"/>
        <v>034942</v>
      </c>
      <c r="E41">
        <v>34942</v>
      </c>
      <c r="F41" t="s">
        <v>178</v>
      </c>
      <c r="G41" t="s">
        <v>179</v>
      </c>
      <c r="I41" t="s">
        <v>180</v>
      </c>
      <c r="J41" t="s">
        <v>181</v>
      </c>
      <c r="K41">
        <v>1</v>
      </c>
    </row>
    <row r="42" spans="4:11" x14ac:dyDescent="0.25">
      <c r="D42" t="str">
        <f t="shared" si="1"/>
        <v>035282</v>
      </c>
      <c r="E42">
        <v>35282</v>
      </c>
      <c r="F42" t="s">
        <v>182</v>
      </c>
      <c r="G42" t="s">
        <v>183</v>
      </c>
      <c r="I42" t="s">
        <v>184</v>
      </c>
      <c r="J42" t="s">
        <v>185</v>
      </c>
      <c r="K42">
        <v>1</v>
      </c>
    </row>
    <row r="43" spans="4:11" x14ac:dyDescent="0.25">
      <c r="D43" t="str">
        <f t="shared" si="1"/>
        <v>203452</v>
      </c>
      <c r="E43">
        <v>203452</v>
      </c>
      <c r="F43" t="s">
        <v>186</v>
      </c>
      <c r="G43" t="s">
        <v>187</v>
      </c>
      <c r="I43" t="s">
        <v>147</v>
      </c>
      <c r="J43" t="s">
        <v>147</v>
      </c>
      <c r="K43">
        <v>1</v>
      </c>
    </row>
    <row r="44" spans="4:11" x14ac:dyDescent="0.25">
      <c r="D44" t="str">
        <f t="shared" si="1"/>
        <v>034886</v>
      </c>
      <c r="E44">
        <v>34886</v>
      </c>
      <c r="F44" t="s">
        <v>188</v>
      </c>
      <c r="G44" t="s">
        <v>189</v>
      </c>
      <c r="I44" t="s">
        <v>190</v>
      </c>
      <c r="J44" t="s">
        <v>191</v>
      </c>
      <c r="K44">
        <v>1</v>
      </c>
    </row>
    <row r="45" spans="4:11" x14ac:dyDescent="0.25">
      <c r="D45" t="str">
        <f t="shared" si="1"/>
        <v>038026</v>
      </c>
      <c r="E45">
        <v>38026</v>
      </c>
      <c r="F45" t="s">
        <v>192</v>
      </c>
      <c r="G45" t="s">
        <v>193</v>
      </c>
      <c r="I45" t="s">
        <v>194</v>
      </c>
      <c r="J45" t="s">
        <v>195</v>
      </c>
      <c r="K45">
        <v>1</v>
      </c>
    </row>
    <row r="46" spans="4:11" x14ac:dyDescent="0.25">
      <c r="D46" t="str">
        <f t="shared" si="1"/>
        <v>034885</v>
      </c>
      <c r="E46">
        <v>34885</v>
      </c>
      <c r="F46" t="s">
        <v>196</v>
      </c>
      <c r="G46" t="s">
        <v>197</v>
      </c>
      <c r="I46" t="s">
        <v>198</v>
      </c>
      <c r="J46" t="s">
        <v>199</v>
      </c>
      <c r="K46">
        <v>1</v>
      </c>
    </row>
    <row r="47" spans="4:11" x14ac:dyDescent="0.25">
      <c r="D47" t="str">
        <f t="shared" si="1"/>
        <v>034889</v>
      </c>
      <c r="E47">
        <v>34889</v>
      </c>
      <c r="F47" t="s">
        <v>200</v>
      </c>
      <c r="G47" t="s">
        <v>201</v>
      </c>
      <c r="I47" t="s">
        <v>202</v>
      </c>
      <c r="J47" t="s">
        <v>203</v>
      </c>
      <c r="K47">
        <v>1</v>
      </c>
    </row>
    <row r="48" spans="4:11" x14ac:dyDescent="0.25">
      <c r="D48" t="str">
        <f t="shared" si="1"/>
        <v>034895</v>
      </c>
      <c r="E48">
        <v>34895</v>
      </c>
      <c r="F48" t="s">
        <v>204</v>
      </c>
      <c r="G48" t="s">
        <v>205</v>
      </c>
      <c r="I48" t="s">
        <v>206</v>
      </c>
      <c r="J48" t="s">
        <v>207</v>
      </c>
      <c r="K48">
        <v>1</v>
      </c>
    </row>
    <row r="49" spans="4:11" x14ac:dyDescent="0.25">
      <c r="D49" t="str">
        <f t="shared" si="1"/>
        <v>034895</v>
      </c>
      <c r="E49">
        <v>34895</v>
      </c>
      <c r="F49" t="s">
        <v>208</v>
      </c>
      <c r="G49" t="s">
        <v>205</v>
      </c>
      <c r="I49" t="s">
        <v>147</v>
      </c>
      <c r="J49" t="s">
        <v>147</v>
      </c>
      <c r="K49">
        <v>1</v>
      </c>
    </row>
    <row r="50" spans="4:11" x14ac:dyDescent="0.25">
      <c r="D50" t="str">
        <f t="shared" si="1"/>
        <v>034897</v>
      </c>
      <c r="E50">
        <v>34897</v>
      </c>
      <c r="F50" t="s">
        <v>209</v>
      </c>
      <c r="G50" t="s">
        <v>210</v>
      </c>
      <c r="I50" t="s">
        <v>147</v>
      </c>
      <c r="J50" t="s">
        <v>147</v>
      </c>
      <c r="K50">
        <v>1</v>
      </c>
    </row>
    <row r="51" spans="4:11" x14ac:dyDescent="0.25">
      <c r="D51" t="str">
        <f t="shared" si="1"/>
        <v>035329</v>
      </c>
      <c r="E51">
        <v>35329</v>
      </c>
      <c r="F51" t="s">
        <v>211</v>
      </c>
      <c r="G51" t="s">
        <v>212</v>
      </c>
      <c r="I51" t="s">
        <v>147</v>
      </c>
      <c r="J51" t="s">
        <v>147</v>
      </c>
      <c r="K51">
        <v>1</v>
      </c>
    </row>
    <row r="52" spans="4:11" x14ac:dyDescent="0.25">
      <c r="D52" t="str">
        <f t="shared" si="1"/>
        <v>034911</v>
      </c>
      <c r="E52">
        <v>34911</v>
      </c>
      <c r="F52" t="s">
        <v>213</v>
      </c>
      <c r="G52" t="s">
        <v>214</v>
      </c>
      <c r="I52" t="s">
        <v>147</v>
      </c>
      <c r="J52" t="s">
        <v>147</v>
      </c>
      <c r="K52">
        <v>1</v>
      </c>
    </row>
    <row r="53" spans="4:11" x14ac:dyDescent="0.25">
      <c r="D53" t="str">
        <f t="shared" si="1"/>
        <v>035020</v>
      </c>
      <c r="E53">
        <v>35020</v>
      </c>
      <c r="F53" t="s">
        <v>215</v>
      </c>
      <c r="G53" t="s">
        <v>216</v>
      </c>
      <c r="I53" t="s">
        <v>217</v>
      </c>
      <c r="J53" t="s">
        <v>218</v>
      </c>
      <c r="K53">
        <v>1</v>
      </c>
    </row>
    <row r="54" spans="4:11" x14ac:dyDescent="0.25">
      <c r="D54" t="str">
        <f t="shared" si="1"/>
        <v>035026</v>
      </c>
      <c r="E54">
        <v>35026</v>
      </c>
      <c r="F54" t="s">
        <v>219</v>
      </c>
      <c r="G54" t="s">
        <v>220</v>
      </c>
      <c r="I54" t="s">
        <v>221</v>
      </c>
      <c r="J54" t="s">
        <v>222</v>
      </c>
      <c r="K54">
        <v>1</v>
      </c>
    </row>
    <row r="55" spans="4:11" x14ac:dyDescent="0.25">
      <c r="D55" t="str">
        <f t="shared" si="1"/>
        <v>035031</v>
      </c>
      <c r="E55">
        <v>35031</v>
      </c>
      <c r="F55" t="s">
        <v>223</v>
      </c>
      <c r="G55" t="s">
        <v>224</v>
      </c>
      <c r="I55" t="s">
        <v>147</v>
      </c>
      <c r="J55" t="s">
        <v>147</v>
      </c>
      <c r="K55">
        <v>1</v>
      </c>
    </row>
    <row r="56" spans="4:11" x14ac:dyDescent="0.25">
      <c r="D56" t="str">
        <f t="shared" si="1"/>
        <v>203287</v>
      </c>
      <c r="E56">
        <v>203287</v>
      </c>
      <c r="F56" t="s">
        <v>225</v>
      </c>
      <c r="G56" t="s">
        <v>226</v>
      </c>
      <c r="I56" t="s">
        <v>227</v>
      </c>
      <c r="J56" t="s">
        <v>228</v>
      </c>
      <c r="K56">
        <v>1</v>
      </c>
    </row>
    <row r="57" spans="4:11" x14ac:dyDescent="0.25">
      <c r="D57" t="str">
        <f t="shared" si="1"/>
        <v>035023</v>
      </c>
      <c r="E57">
        <v>35023</v>
      </c>
      <c r="F57" t="s">
        <v>229</v>
      </c>
      <c r="G57" t="s">
        <v>230</v>
      </c>
      <c r="I57" t="s">
        <v>147</v>
      </c>
      <c r="J57" t="s">
        <v>147</v>
      </c>
      <c r="K57">
        <v>1</v>
      </c>
    </row>
    <row r="58" spans="4:11" x14ac:dyDescent="0.25">
      <c r="D58" t="str">
        <f t="shared" si="1"/>
        <v>035028</v>
      </c>
      <c r="E58">
        <v>35028</v>
      </c>
      <c r="F58" t="s">
        <v>231</v>
      </c>
      <c r="G58" t="s">
        <v>232</v>
      </c>
      <c r="I58" t="s">
        <v>233</v>
      </c>
      <c r="J58" t="s">
        <v>234</v>
      </c>
      <c r="K58">
        <v>1</v>
      </c>
    </row>
    <row r="59" spans="4:11" x14ac:dyDescent="0.25">
      <c r="D59" t="str">
        <f t="shared" si="1"/>
        <v>035022</v>
      </c>
      <c r="E59">
        <v>35022</v>
      </c>
      <c r="F59" t="s">
        <v>235</v>
      </c>
      <c r="G59" t="s">
        <v>236</v>
      </c>
      <c r="I59" t="s">
        <v>147</v>
      </c>
      <c r="J59" t="s">
        <v>147</v>
      </c>
      <c r="K59">
        <v>1</v>
      </c>
    </row>
    <row r="60" spans="4:11" x14ac:dyDescent="0.25">
      <c r="D60" t="str">
        <f t="shared" si="1"/>
        <v>203202</v>
      </c>
      <c r="E60">
        <v>203202</v>
      </c>
      <c r="F60" t="s">
        <v>237</v>
      </c>
      <c r="G60" t="s">
        <v>238</v>
      </c>
      <c r="I60" s="3" t="s">
        <v>239</v>
      </c>
      <c r="J60">
        <v>3613208893</v>
      </c>
      <c r="K60">
        <v>1</v>
      </c>
    </row>
    <row r="61" spans="4:11" x14ac:dyDescent="0.25">
      <c r="D61" t="str">
        <f t="shared" si="1"/>
        <v>203288</v>
      </c>
      <c r="E61">
        <v>203288</v>
      </c>
      <c r="F61" t="s">
        <v>240</v>
      </c>
      <c r="G61" t="s">
        <v>241</v>
      </c>
      <c r="I61" t="s">
        <v>147</v>
      </c>
      <c r="J61" t="s">
        <v>147</v>
      </c>
      <c r="K61">
        <v>1</v>
      </c>
    </row>
    <row r="62" spans="4:11" x14ac:dyDescent="0.25">
      <c r="D62" t="str">
        <f t="shared" si="1"/>
        <v>035048</v>
      </c>
      <c r="E62">
        <v>35048</v>
      </c>
      <c r="F62" t="s">
        <v>242</v>
      </c>
      <c r="G62" t="s">
        <v>243</v>
      </c>
      <c r="I62" t="s">
        <v>147</v>
      </c>
      <c r="J62" t="s">
        <v>147</v>
      </c>
      <c r="K62">
        <v>1</v>
      </c>
    </row>
    <row r="63" spans="4:11" x14ac:dyDescent="0.25">
      <c r="D63" t="str">
        <f t="shared" si="1"/>
        <v>035049</v>
      </c>
      <c r="E63">
        <v>35049</v>
      </c>
      <c r="F63" t="s">
        <v>244</v>
      </c>
      <c r="G63" t="s">
        <v>245</v>
      </c>
      <c r="I63" t="s">
        <v>147</v>
      </c>
      <c r="J63" t="s">
        <v>147</v>
      </c>
      <c r="K63">
        <v>1</v>
      </c>
    </row>
    <row r="64" spans="4:11" x14ac:dyDescent="0.25">
      <c r="D64" t="str">
        <f t="shared" si="1"/>
        <v>035051</v>
      </c>
      <c r="E64">
        <v>35051</v>
      </c>
      <c r="F64" t="s">
        <v>246</v>
      </c>
      <c r="G64" t="s">
        <v>247</v>
      </c>
      <c r="I64" t="s">
        <v>147</v>
      </c>
      <c r="J64" t="s">
        <v>147</v>
      </c>
      <c r="K64">
        <v>1</v>
      </c>
    </row>
    <row r="65" spans="4:11" x14ac:dyDescent="0.25">
      <c r="D65" t="str">
        <f t="shared" si="1"/>
        <v>035058</v>
      </c>
      <c r="E65">
        <v>35058</v>
      </c>
      <c r="F65" t="s">
        <v>248</v>
      </c>
      <c r="G65" t="s">
        <v>249</v>
      </c>
      <c r="I65" t="s">
        <v>250</v>
      </c>
      <c r="J65" t="s">
        <v>251</v>
      </c>
      <c r="K65">
        <v>1</v>
      </c>
    </row>
    <row r="66" spans="4:11" x14ac:dyDescent="0.25">
      <c r="D66" t="str">
        <f t="shared" si="1"/>
        <v>035057</v>
      </c>
      <c r="E66">
        <v>35057</v>
      </c>
      <c r="F66" t="s">
        <v>252</v>
      </c>
      <c r="G66" t="s">
        <v>253</v>
      </c>
      <c r="I66" t="s">
        <v>254</v>
      </c>
      <c r="J66" t="s">
        <v>255</v>
      </c>
      <c r="K66">
        <v>1</v>
      </c>
    </row>
    <row r="67" spans="4:11" x14ac:dyDescent="0.25">
      <c r="D67" t="str">
        <f t="shared" si="1"/>
        <v>035088</v>
      </c>
      <c r="E67">
        <v>35088</v>
      </c>
      <c r="F67" t="s">
        <v>256</v>
      </c>
      <c r="G67" t="s">
        <v>257</v>
      </c>
      <c r="I67" t="s">
        <v>258</v>
      </c>
      <c r="J67" t="s">
        <v>259</v>
      </c>
      <c r="K67">
        <v>1</v>
      </c>
    </row>
    <row r="68" spans="4:11" x14ac:dyDescent="0.25">
      <c r="D68" t="str">
        <f t="shared" ref="D68:D99" si="2">TEXT(E68,"000000")</f>
        <v>035095</v>
      </c>
      <c r="E68">
        <v>35095</v>
      </c>
      <c r="F68" t="s">
        <v>260</v>
      </c>
      <c r="G68" t="s">
        <v>261</v>
      </c>
      <c r="I68" t="s">
        <v>147</v>
      </c>
      <c r="J68" t="s">
        <v>147</v>
      </c>
      <c r="K68">
        <v>1</v>
      </c>
    </row>
    <row r="69" spans="4:11" x14ac:dyDescent="0.25">
      <c r="D69" t="str">
        <f t="shared" si="2"/>
        <v>035086</v>
      </c>
      <c r="E69">
        <v>35086</v>
      </c>
      <c r="F69" t="s">
        <v>262</v>
      </c>
      <c r="G69" t="s">
        <v>263</v>
      </c>
      <c r="I69" t="s">
        <v>147</v>
      </c>
      <c r="J69" t="s">
        <v>147</v>
      </c>
      <c r="K69">
        <v>1</v>
      </c>
    </row>
    <row r="70" spans="4:11" x14ac:dyDescent="0.25">
      <c r="D70" t="str">
        <f t="shared" si="2"/>
        <v>035107</v>
      </c>
      <c r="E70">
        <v>35107</v>
      </c>
      <c r="F70" t="s">
        <v>264</v>
      </c>
      <c r="G70" t="s">
        <v>265</v>
      </c>
      <c r="I70" t="s">
        <v>266</v>
      </c>
      <c r="J70">
        <v>2580688</v>
      </c>
      <c r="K70">
        <v>1</v>
      </c>
    </row>
    <row r="71" spans="4:11" x14ac:dyDescent="0.25">
      <c r="D71" t="str">
        <f t="shared" si="2"/>
        <v>035104</v>
      </c>
      <c r="E71">
        <v>35104</v>
      </c>
      <c r="F71" t="s">
        <v>267</v>
      </c>
      <c r="G71" t="s">
        <v>268</v>
      </c>
      <c r="I71" t="s">
        <v>147</v>
      </c>
      <c r="J71" t="s">
        <v>147</v>
      </c>
      <c r="K71">
        <v>1</v>
      </c>
    </row>
    <row r="72" spans="4:11" x14ac:dyDescent="0.25">
      <c r="D72" t="str">
        <f t="shared" si="2"/>
        <v>035119</v>
      </c>
      <c r="E72">
        <v>35119</v>
      </c>
      <c r="F72" t="s">
        <v>269</v>
      </c>
      <c r="G72" t="s">
        <v>270</v>
      </c>
      <c r="I72" t="s">
        <v>147</v>
      </c>
      <c r="J72" t="s">
        <v>147</v>
      </c>
      <c r="K72">
        <v>1</v>
      </c>
    </row>
    <row r="73" spans="4:11" x14ac:dyDescent="0.25">
      <c r="D73" t="str">
        <f t="shared" si="2"/>
        <v>035168</v>
      </c>
      <c r="E73">
        <v>35168</v>
      </c>
      <c r="F73" t="s">
        <v>271</v>
      </c>
      <c r="G73" t="s">
        <v>272</v>
      </c>
      <c r="I73" t="s">
        <v>147</v>
      </c>
      <c r="J73" t="s">
        <v>147</v>
      </c>
      <c r="K73">
        <v>1</v>
      </c>
    </row>
    <row r="74" spans="4:11" x14ac:dyDescent="0.25">
      <c r="D74" t="str">
        <f t="shared" si="2"/>
        <v>035324</v>
      </c>
      <c r="E74">
        <v>35324</v>
      </c>
      <c r="F74" t="s">
        <v>273</v>
      </c>
      <c r="G74" t="s">
        <v>274</v>
      </c>
      <c r="I74" t="s">
        <v>147</v>
      </c>
      <c r="J74" t="s">
        <v>147</v>
      </c>
      <c r="K74">
        <v>1</v>
      </c>
    </row>
    <row r="75" spans="4:11" x14ac:dyDescent="0.25">
      <c r="D75" t="str">
        <f t="shared" si="2"/>
        <v>035155</v>
      </c>
      <c r="E75">
        <v>35155</v>
      </c>
      <c r="F75" t="s">
        <v>275</v>
      </c>
      <c r="G75" t="s">
        <v>276</v>
      </c>
      <c r="I75" t="s">
        <v>147</v>
      </c>
      <c r="J75" t="s">
        <v>147</v>
      </c>
      <c r="K75">
        <v>1</v>
      </c>
    </row>
    <row r="76" spans="4:11" x14ac:dyDescent="0.25">
      <c r="D76" t="str">
        <f t="shared" si="2"/>
        <v>035019</v>
      </c>
      <c r="E76">
        <v>35019</v>
      </c>
      <c r="F76" t="s">
        <v>277</v>
      </c>
      <c r="G76" t="s">
        <v>278</v>
      </c>
      <c r="I76" t="s">
        <v>147</v>
      </c>
      <c r="J76" t="s">
        <v>147</v>
      </c>
      <c r="K76">
        <v>1</v>
      </c>
    </row>
    <row r="77" spans="4:11" x14ac:dyDescent="0.25">
      <c r="D77" t="str">
        <f t="shared" si="2"/>
        <v>034894</v>
      </c>
      <c r="E77">
        <v>34894</v>
      </c>
      <c r="F77" t="s">
        <v>279</v>
      </c>
      <c r="G77" t="s">
        <v>280</v>
      </c>
      <c r="I77" t="s">
        <v>147</v>
      </c>
      <c r="J77" t="s">
        <v>147</v>
      </c>
      <c r="K77">
        <v>1</v>
      </c>
    </row>
    <row r="78" spans="4:11" x14ac:dyDescent="0.25">
      <c r="D78" t="str">
        <f t="shared" si="2"/>
        <v>064887</v>
      </c>
      <c r="E78">
        <v>64887</v>
      </c>
      <c r="F78" t="s">
        <v>281</v>
      </c>
      <c r="G78" t="s">
        <v>282</v>
      </c>
      <c r="I78" t="s">
        <v>283</v>
      </c>
      <c r="J78" t="s">
        <v>284</v>
      </c>
      <c r="K78">
        <v>1</v>
      </c>
    </row>
    <row r="79" spans="4:11" x14ac:dyDescent="0.25">
      <c r="D79" t="str">
        <f t="shared" si="2"/>
        <v>034792</v>
      </c>
      <c r="E79">
        <v>34792</v>
      </c>
      <c r="F79" t="s">
        <v>285</v>
      </c>
      <c r="G79" t="s">
        <v>286</v>
      </c>
      <c r="I79" t="s">
        <v>287</v>
      </c>
      <c r="J79" t="s">
        <v>288</v>
      </c>
      <c r="K79">
        <v>1</v>
      </c>
    </row>
    <row r="80" spans="4:11" x14ac:dyDescent="0.25">
      <c r="D80" t="str">
        <f t="shared" si="2"/>
        <v>034802</v>
      </c>
      <c r="E80">
        <v>34802</v>
      </c>
      <c r="F80" t="s">
        <v>289</v>
      </c>
      <c r="G80" t="s">
        <v>290</v>
      </c>
      <c r="I80" t="s">
        <v>291</v>
      </c>
      <c r="J80" t="s">
        <v>292</v>
      </c>
      <c r="K80">
        <v>1</v>
      </c>
    </row>
    <row r="81" spans="4:11" x14ac:dyDescent="0.25">
      <c r="D81" t="str">
        <f t="shared" si="2"/>
        <v>034799</v>
      </c>
      <c r="E81">
        <v>34799</v>
      </c>
      <c r="F81" t="s">
        <v>293</v>
      </c>
      <c r="G81" t="s">
        <v>294</v>
      </c>
      <c r="I81" t="s">
        <v>295</v>
      </c>
      <c r="J81" t="s">
        <v>296</v>
      </c>
      <c r="K81">
        <v>1</v>
      </c>
    </row>
    <row r="82" spans="4:11" x14ac:dyDescent="0.25">
      <c r="D82" t="str">
        <f t="shared" si="2"/>
        <v>034829</v>
      </c>
      <c r="E82">
        <v>34829</v>
      </c>
      <c r="F82" t="s">
        <v>297</v>
      </c>
      <c r="G82" t="s">
        <v>298</v>
      </c>
      <c r="I82" t="s">
        <v>299</v>
      </c>
      <c r="J82" t="s">
        <v>300</v>
      </c>
      <c r="K82">
        <v>1</v>
      </c>
    </row>
    <row r="83" spans="4:11" x14ac:dyDescent="0.25">
      <c r="D83" t="str">
        <f t="shared" si="2"/>
        <v>203162</v>
      </c>
      <c r="E83">
        <v>203162</v>
      </c>
      <c r="F83" t="s">
        <v>301</v>
      </c>
      <c r="G83" t="s">
        <v>302</v>
      </c>
      <c r="I83" t="s">
        <v>303</v>
      </c>
      <c r="J83" t="s">
        <v>304</v>
      </c>
      <c r="K83">
        <v>1</v>
      </c>
    </row>
    <row r="84" spans="4:11" x14ac:dyDescent="0.25">
      <c r="D84" t="str">
        <f t="shared" si="2"/>
        <v>032354</v>
      </c>
      <c r="E84">
        <v>32354</v>
      </c>
      <c r="F84" t="s">
        <v>305</v>
      </c>
      <c r="G84" t="s">
        <v>306</v>
      </c>
      <c r="I84" t="s">
        <v>307</v>
      </c>
      <c r="J84" t="s">
        <v>308</v>
      </c>
      <c r="K84">
        <v>1</v>
      </c>
    </row>
    <row r="85" spans="4:11" x14ac:dyDescent="0.25">
      <c r="D85" t="str">
        <f t="shared" si="2"/>
        <v>034990</v>
      </c>
      <c r="E85">
        <v>34990</v>
      </c>
      <c r="F85" t="s">
        <v>309</v>
      </c>
      <c r="G85" t="s">
        <v>310</v>
      </c>
      <c r="I85" t="s">
        <v>311</v>
      </c>
      <c r="J85" t="s">
        <v>312</v>
      </c>
      <c r="K85">
        <v>1</v>
      </c>
    </row>
    <row r="86" spans="4:11" x14ac:dyDescent="0.25">
      <c r="D86" t="str">
        <f t="shared" si="2"/>
        <v>034837</v>
      </c>
      <c r="E86">
        <v>34837</v>
      </c>
      <c r="F86" t="s">
        <v>313</v>
      </c>
      <c r="G86" t="s">
        <v>314</v>
      </c>
      <c r="I86" t="s">
        <v>315</v>
      </c>
      <c r="J86" t="s">
        <v>316</v>
      </c>
      <c r="K86">
        <v>1</v>
      </c>
    </row>
    <row r="87" spans="4:11" x14ac:dyDescent="0.25">
      <c r="D87" t="str">
        <f t="shared" si="2"/>
        <v>035054</v>
      </c>
      <c r="E87">
        <v>35054</v>
      </c>
      <c r="F87" t="s">
        <v>317</v>
      </c>
      <c r="G87" t="s">
        <v>318</v>
      </c>
      <c r="I87" t="s">
        <v>319</v>
      </c>
      <c r="J87" t="s">
        <v>320</v>
      </c>
      <c r="K87">
        <v>1</v>
      </c>
    </row>
    <row r="88" spans="4:11" x14ac:dyDescent="0.25">
      <c r="D88" t="str">
        <f t="shared" si="2"/>
        <v>203602</v>
      </c>
      <c r="E88">
        <v>203602</v>
      </c>
      <c r="F88" t="s">
        <v>321</v>
      </c>
      <c r="G88" t="s">
        <v>322</v>
      </c>
      <c r="I88" t="s">
        <v>147</v>
      </c>
      <c r="J88" t="s">
        <v>147</v>
      </c>
      <c r="K88">
        <v>1</v>
      </c>
    </row>
    <row r="89" spans="4:11" x14ac:dyDescent="0.25">
      <c r="D89" t="str">
        <f t="shared" si="2"/>
        <v>034844</v>
      </c>
      <c r="E89">
        <v>34844</v>
      </c>
      <c r="F89" t="s">
        <v>323</v>
      </c>
      <c r="G89" t="s">
        <v>324</v>
      </c>
      <c r="I89" t="s">
        <v>147</v>
      </c>
      <c r="J89" t="s">
        <v>147</v>
      </c>
      <c r="K89">
        <v>1</v>
      </c>
    </row>
    <row r="90" spans="4:11" x14ac:dyDescent="0.25">
      <c r="D90" t="str">
        <f t="shared" si="2"/>
        <v>038410</v>
      </c>
      <c r="E90">
        <v>38410</v>
      </c>
      <c r="F90" t="s">
        <v>325</v>
      </c>
      <c r="G90" t="s">
        <v>326</v>
      </c>
      <c r="I90" t="s">
        <v>147</v>
      </c>
      <c r="J90" t="s">
        <v>147</v>
      </c>
      <c r="K90">
        <v>1</v>
      </c>
    </row>
    <row r="91" spans="4:11" x14ac:dyDescent="0.25">
      <c r="D91" t="str">
        <f t="shared" si="2"/>
        <v>035001</v>
      </c>
      <c r="E91">
        <v>35001</v>
      </c>
      <c r="F91" t="s">
        <v>327</v>
      </c>
      <c r="G91" t="s">
        <v>328</v>
      </c>
      <c r="I91" t="s">
        <v>329</v>
      </c>
      <c r="J91" t="s">
        <v>330</v>
      </c>
      <c r="K91">
        <v>1</v>
      </c>
    </row>
    <row r="92" spans="4:11" x14ac:dyDescent="0.25">
      <c r="D92" t="str">
        <f t="shared" si="2"/>
        <v>037325</v>
      </c>
      <c r="E92">
        <v>37325</v>
      </c>
      <c r="F92" t="s">
        <v>331</v>
      </c>
      <c r="G92" t="s">
        <v>332</v>
      </c>
      <c r="I92" t="s">
        <v>147</v>
      </c>
      <c r="J92" t="s">
        <v>147</v>
      </c>
      <c r="K92">
        <v>1</v>
      </c>
    </row>
    <row r="93" spans="4:11" x14ac:dyDescent="0.25">
      <c r="D93" t="str">
        <f t="shared" si="2"/>
        <v>037320</v>
      </c>
      <c r="E93">
        <v>37320</v>
      </c>
      <c r="F93" t="s">
        <v>333</v>
      </c>
      <c r="G93" t="s">
        <v>334</v>
      </c>
      <c r="I93" t="s">
        <v>335</v>
      </c>
      <c r="J93" t="s">
        <v>336</v>
      </c>
      <c r="K93">
        <v>1</v>
      </c>
    </row>
    <row r="94" spans="4:11" x14ac:dyDescent="0.25">
      <c r="D94" t="str">
        <f t="shared" si="2"/>
        <v>037321</v>
      </c>
      <c r="E94">
        <v>37321</v>
      </c>
      <c r="F94" t="s">
        <v>337</v>
      </c>
      <c r="G94" t="s">
        <v>338</v>
      </c>
      <c r="I94" t="s">
        <v>147</v>
      </c>
      <c r="J94" t="s">
        <v>147</v>
      </c>
      <c r="K94">
        <v>1</v>
      </c>
    </row>
    <row r="95" spans="4:11" x14ac:dyDescent="0.25">
      <c r="D95" t="str">
        <f t="shared" si="2"/>
        <v>201491</v>
      </c>
      <c r="E95">
        <v>201491</v>
      </c>
      <c r="F95" t="s">
        <v>339</v>
      </c>
      <c r="G95" t="s">
        <v>340</v>
      </c>
      <c r="I95" t="s">
        <v>341</v>
      </c>
      <c r="J95" t="s">
        <v>342</v>
      </c>
      <c r="K95">
        <v>1</v>
      </c>
    </row>
    <row r="96" spans="4:11" x14ac:dyDescent="0.25">
      <c r="D96" t="str">
        <f t="shared" si="2"/>
        <v>030136</v>
      </c>
      <c r="E96">
        <v>30136</v>
      </c>
      <c r="F96" t="s">
        <v>343</v>
      </c>
      <c r="G96" t="s">
        <v>344</v>
      </c>
      <c r="I96" t="s">
        <v>147</v>
      </c>
      <c r="J96" t="s">
        <v>147</v>
      </c>
      <c r="K96">
        <v>1</v>
      </c>
    </row>
    <row r="97" spans="4:11" x14ac:dyDescent="0.25">
      <c r="D97" t="str">
        <f t="shared" si="2"/>
        <v>203464</v>
      </c>
      <c r="E97">
        <v>203464</v>
      </c>
      <c r="F97" t="s">
        <v>345</v>
      </c>
      <c r="G97" t="s">
        <v>346</v>
      </c>
      <c r="I97" t="s">
        <v>147</v>
      </c>
      <c r="J97" t="s">
        <v>147</v>
      </c>
      <c r="K97">
        <v>1</v>
      </c>
    </row>
    <row r="98" spans="4:11" x14ac:dyDescent="0.25">
      <c r="D98" t="str">
        <f t="shared" si="2"/>
        <v>032386</v>
      </c>
      <c r="E98">
        <v>32386</v>
      </c>
      <c r="F98" t="s">
        <v>347</v>
      </c>
      <c r="G98" t="s">
        <v>348</v>
      </c>
      <c r="I98" t="s">
        <v>349</v>
      </c>
      <c r="J98">
        <v>36307828150</v>
      </c>
      <c r="K98">
        <v>1</v>
      </c>
    </row>
    <row r="99" spans="4:11" x14ac:dyDescent="0.25">
      <c r="D99" t="str">
        <f t="shared" si="2"/>
        <v>034983</v>
      </c>
      <c r="E99">
        <v>34983</v>
      </c>
      <c r="F99" t="s">
        <v>350</v>
      </c>
      <c r="G99" t="s">
        <v>351</v>
      </c>
      <c r="I99" t="s">
        <v>352</v>
      </c>
      <c r="J99" t="s">
        <v>353</v>
      </c>
      <c r="K99">
        <v>1</v>
      </c>
    </row>
    <row r="100" spans="4:11" x14ac:dyDescent="0.25">
      <c r="D100" t="str">
        <f t="shared" ref="D100:D131" si="3">TEXT(E100,"000000")</f>
        <v>034812</v>
      </c>
      <c r="E100">
        <v>34812</v>
      </c>
      <c r="F100" t="s">
        <v>354</v>
      </c>
      <c r="G100" t="s">
        <v>355</v>
      </c>
      <c r="I100" t="s">
        <v>356</v>
      </c>
      <c r="J100" t="s">
        <v>357</v>
      </c>
      <c r="K100">
        <v>1</v>
      </c>
    </row>
    <row r="101" spans="4:11" x14ac:dyDescent="0.25">
      <c r="D101" t="str">
        <f t="shared" si="3"/>
        <v>034832</v>
      </c>
      <c r="E101">
        <v>34832</v>
      </c>
      <c r="F101" t="s">
        <v>358</v>
      </c>
      <c r="G101" t="s">
        <v>359</v>
      </c>
      <c r="I101" t="s">
        <v>360</v>
      </c>
      <c r="J101" t="s">
        <v>361</v>
      </c>
      <c r="K101">
        <v>1</v>
      </c>
    </row>
    <row r="102" spans="4:11" x14ac:dyDescent="0.25">
      <c r="D102" t="str">
        <f t="shared" si="3"/>
        <v>203387</v>
      </c>
      <c r="E102">
        <v>203387</v>
      </c>
      <c r="F102" t="s">
        <v>362</v>
      </c>
      <c r="G102" t="s">
        <v>75</v>
      </c>
      <c r="I102" t="s">
        <v>363</v>
      </c>
      <c r="J102" t="s">
        <v>364</v>
      </c>
      <c r="K102">
        <v>1</v>
      </c>
    </row>
    <row r="103" spans="4:11" x14ac:dyDescent="0.25">
      <c r="D103" t="str">
        <f t="shared" si="3"/>
        <v>035196</v>
      </c>
      <c r="E103">
        <v>35196</v>
      </c>
      <c r="F103" t="s">
        <v>365</v>
      </c>
      <c r="G103" t="s">
        <v>366</v>
      </c>
      <c r="I103" t="s">
        <v>147</v>
      </c>
      <c r="J103" t="s">
        <v>147</v>
      </c>
      <c r="K103">
        <v>1</v>
      </c>
    </row>
    <row r="104" spans="4:11" x14ac:dyDescent="0.25">
      <c r="D104" t="str">
        <f t="shared" si="3"/>
        <v>034994</v>
      </c>
      <c r="E104">
        <v>34994</v>
      </c>
      <c r="F104" t="s">
        <v>367</v>
      </c>
      <c r="G104" t="s">
        <v>368</v>
      </c>
      <c r="I104" t="s">
        <v>369</v>
      </c>
      <c r="J104" t="s">
        <v>370</v>
      </c>
      <c r="K104">
        <v>1</v>
      </c>
    </row>
    <row r="105" spans="4:11" x14ac:dyDescent="0.25">
      <c r="D105" t="str">
        <f t="shared" si="3"/>
        <v>034993</v>
      </c>
      <c r="E105">
        <v>34993</v>
      </c>
      <c r="F105" t="s">
        <v>371</v>
      </c>
      <c r="G105" t="s">
        <v>372</v>
      </c>
      <c r="I105" t="s">
        <v>373</v>
      </c>
      <c r="J105" t="s">
        <v>374</v>
      </c>
      <c r="K105">
        <v>1</v>
      </c>
    </row>
    <row r="106" spans="4:11" x14ac:dyDescent="0.25">
      <c r="D106" t="str">
        <f t="shared" si="3"/>
        <v>037708</v>
      </c>
      <c r="E106">
        <v>37708</v>
      </c>
      <c r="F106" t="s">
        <v>375</v>
      </c>
      <c r="G106" t="s">
        <v>376</v>
      </c>
      <c r="I106" t="s">
        <v>147</v>
      </c>
      <c r="J106" t="s">
        <v>147</v>
      </c>
      <c r="K106">
        <v>1</v>
      </c>
    </row>
    <row r="107" spans="4:11" x14ac:dyDescent="0.25">
      <c r="D107" t="str">
        <f t="shared" si="3"/>
        <v>032515</v>
      </c>
      <c r="E107">
        <v>32515</v>
      </c>
      <c r="F107" t="s">
        <v>377</v>
      </c>
      <c r="G107" t="s">
        <v>378</v>
      </c>
      <c r="I107" t="s">
        <v>147</v>
      </c>
      <c r="J107" t="s">
        <v>147</v>
      </c>
      <c r="K107">
        <v>1</v>
      </c>
    </row>
    <row r="108" spans="4:11" x14ac:dyDescent="0.25">
      <c r="D108" t="str">
        <f t="shared" si="3"/>
        <v>034978</v>
      </c>
      <c r="E108">
        <v>34978</v>
      </c>
      <c r="F108" t="s">
        <v>379</v>
      </c>
      <c r="G108" t="s">
        <v>380</v>
      </c>
      <c r="I108" t="s">
        <v>381</v>
      </c>
      <c r="J108">
        <v>6206201119</v>
      </c>
      <c r="K108">
        <v>1</v>
      </c>
    </row>
    <row r="109" spans="4:11" x14ac:dyDescent="0.25">
      <c r="D109" t="str">
        <f t="shared" si="3"/>
        <v>035122</v>
      </c>
      <c r="E109">
        <v>35122</v>
      </c>
      <c r="F109" t="s">
        <v>382</v>
      </c>
      <c r="G109" t="s">
        <v>383</v>
      </c>
      <c r="I109" t="s">
        <v>384</v>
      </c>
      <c r="J109" t="s">
        <v>385</v>
      </c>
      <c r="K109">
        <v>1</v>
      </c>
    </row>
    <row r="110" spans="4:11" x14ac:dyDescent="0.25">
      <c r="D110" t="str">
        <f t="shared" si="3"/>
        <v>101508</v>
      </c>
      <c r="E110">
        <v>101508</v>
      </c>
      <c r="F110" t="s">
        <v>386</v>
      </c>
      <c r="G110" t="s">
        <v>387</v>
      </c>
      <c r="I110" t="s">
        <v>147</v>
      </c>
      <c r="J110" t="s">
        <v>147</v>
      </c>
      <c r="K110">
        <v>1</v>
      </c>
    </row>
    <row r="111" spans="4:11" x14ac:dyDescent="0.25">
      <c r="D111" t="str">
        <f t="shared" si="3"/>
        <v>032499</v>
      </c>
      <c r="E111">
        <v>32499</v>
      </c>
      <c r="F111" t="s">
        <v>388</v>
      </c>
      <c r="G111" t="s">
        <v>389</v>
      </c>
      <c r="I111" t="s">
        <v>147</v>
      </c>
      <c r="J111" t="s">
        <v>147</v>
      </c>
      <c r="K111">
        <v>1</v>
      </c>
    </row>
    <row r="112" spans="4:11" x14ac:dyDescent="0.25">
      <c r="D112" t="str">
        <f t="shared" si="3"/>
        <v>035160</v>
      </c>
      <c r="E112">
        <v>35160</v>
      </c>
      <c r="F112" t="s">
        <v>390</v>
      </c>
      <c r="G112" t="s">
        <v>391</v>
      </c>
      <c r="I112" t="s">
        <v>392</v>
      </c>
      <c r="J112">
        <v>3612854248</v>
      </c>
      <c r="K112">
        <v>1</v>
      </c>
    </row>
    <row r="113" spans="4:11" x14ac:dyDescent="0.25">
      <c r="D113" t="str">
        <f t="shared" si="3"/>
        <v>032443</v>
      </c>
      <c r="E113">
        <v>32443</v>
      </c>
      <c r="F113" t="s">
        <v>393</v>
      </c>
      <c r="G113" t="s">
        <v>394</v>
      </c>
      <c r="I113" t="s">
        <v>147</v>
      </c>
      <c r="J113" t="s">
        <v>147</v>
      </c>
      <c r="K113">
        <v>1</v>
      </c>
    </row>
    <row r="114" spans="4:11" x14ac:dyDescent="0.25">
      <c r="D114" t="str">
        <f t="shared" si="3"/>
        <v>035154</v>
      </c>
      <c r="E114">
        <v>35154</v>
      </c>
      <c r="F114" t="s">
        <v>395</v>
      </c>
      <c r="G114" t="s">
        <v>396</v>
      </c>
      <c r="I114" t="s">
        <v>397</v>
      </c>
      <c r="J114" t="s">
        <v>398</v>
      </c>
      <c r="K114">
        <v>1</v>
      </c>
    </row>
    <row r="115" spans="4:11" x14ac:dyDescent="0.25">
      <c r="D115" t="str">
        <f t="shared" si="3"/>
        <v>032462</v>
      </c>
      <c r="E115">
        <v>32462</v>
      </c>
      <c r="F115" t="s">
        <v>399</v>
      </c>
      <c r="G115" t="s">
        <v>400</v>
      </c>
      <c r="I115" t="s">
        <v>147</v>
      </c>
      <c r="J115" t="s">
        <v>147</v>
      </c>
      <c r="K115">
        <v>1</v>
      </c>
    </row>
    <row r="116" spans="4:11" x14ac:dyDescent="0.25">
      <c r="D116" t="str">
        <f t="shared" si="3"/>
        <v>032395</v>
      </c>
      <c r="E116">
        <v>32395</v>
      </c>
      <c r="F116" t="s">
        <v>401</v>
      </c>
      <c r="G116" t="s">
        <v>402</v>
      </c>
      <c r="I116" t="s">
        <v>147</v>
      </c>
      <c r="J116" t="s">
        <v>147</v>
      </c>
      <c r="K116">
        <v>1</v>
      </c>
    </row>
    <row r="117" spans="4:11" x14ac:dyDescent="0.25">
      <c r="D117" t="str">
        <f t="shared" si="3"/>
        <v>035123</v>
      </c>
      <c r="E117">
        <v>35123</v>
      </c>
      <c r="F117" t="s">
        <v>403</v>
      </c>
      <c r="G117" t="s">
        <v>318</v>
      </c>
      <c r="I117" t="s">
        <v>404</v>
      </c>
      <c r="J117" t="s">
        <v>405</v>
      </c>
      <c r="K117">
        <v>1</v>
      </c>
    </row>
    <row r="118" spans="4:11" x14ac:dyDescent="0.25">
      <c r="D118" t="str">
        <f t="shared" si="3"/>
        <v>035124</v>
      </c>
      <c r="E118">
        <v>35124</v>
      </c>
      <c r="F118" t="s">
        <v>406</v>
      </c>
      <c r="G118" t="s">
        <v>407</v>
      </c>
      <c r="I118" t="s">
        <v>408</v>
      </c>
      <c r="J118" t="s">
        <v>409</v>
      </c>
      <c r="K118">
        <v>1</v>
      </c>
    </row>
    <row r="119" spans="4:11" x14ac:dyDescent="0.25">
      <c r="D119" t="str">
        <f t="shared" si="3"/>
        <v>035150</v>
      </c>
      <c r="E119">
        <v>35150</v>
      </c>
      <c r="F119" t="s">
        <v>410</v>
      </c>
      <c r="G119" t="s">
        <v>411</v>
      </c>
      <c r="I119" t="s">
        <v>147</v>
      </c>
      <c r="J119" t="s">
        <v>147</v>
      </c>
      <c r="K119">
        <v>1</v>
      </c>
    </row>
    <row r="120" spans="4:11" x14ac:dyDescent="0.25">
      <c r="D120" t="str">
        <f t="shared" si="3"/>
        <v>034984</v>
      </c>
      <c r="E120">
        <v>34984</v>
      </c>
      <c r="F120" t="s">
        <v>412</v>
      </c>
      <c r="G120" t="s">
        <v>413</v>
      </c>
      <c r="I120" t="s">
        <v>414</v>
      </c>
      <c r="J120" t="s">
        <v>415</v>
      </c>
      <c r="K120">
        <v>1</v>
      </c>
    </row>
    <row r="121" spans="4:11" x14ac:dyDescent="0.25">
      <c r="D121" t="str">
        <f t="shared" si="3"/>
        <v>037740</v>
      </c>
      <c r="E121">
        <v>37740</v>
      </c>
      <c r="F121" t="s">
        <v>416</v>
      </c>
      <c r="G121" t="s">
        <v>417</v>
      </c>
      <c r="I121" t="s">
        <v>418</v>
      </c>
      <c r="J121" t="s">
        <v>419</v>
      </c>
      <c r="K121">
        <v>1</v>
      </c>
    </row>
    <row r="122" spans="4:11" x14ac:dyDescent="0.25">
      <c r="D122" t="str">
        <f t="shared" si="3"/>
        <v>035149</v>
      </c>
      <c r="E122">
        <v>35149</v>
      </c>
      <c r="F122" t="s">
        <v>420</v>
      </c>
      <c r="G122" t="s">
        <v>421</v>
      </c>
      <c r="I122" t="s">
        <v>147</v>
      </c>
      <c r="J122" t="s">
        <v>147</v>
      </c>
      <c r="K122">
        <v>1</v>
      </c>
    </row>
    <row r="123" spans="4:11" x14ac:dyDescent="0.25">
      <c r="D123" t="str">
        <f t="shared" si="3"/>
        <v>035139</v>
      </c>
      <c r="E123">
        <v>35139</v>
      </c>
      <c r="F123" t="s">
        <v>422</v>
      </c>
      <c r="G123" t="s">
        <v>423</v>
      </c>
      <c r="I123" t="s">
        <v>147</v>
      </c>
      <c r="J123" t="s">
        <v>147</v>
      </c>
      <c r="K123">
        <v>1</v>
      </c>
    </row>
    <row r="124" spans="4:11" x14ac:dyDescent="0.25">
      <c r="D124" t="str">
        <f t="shared" si="3"/>
        <v>035142</v>
      </c>
      <c r="E124">
        <v>35142</v>
      </c>
      <c r="F124" t="s">
        <v>424</v>
      </c>
      <c r="G124" t="s">
        <v>425</v>
      </c>
      <c r="I124" t="s">
        <v>426</v>
      </c>
      <c r="J124" t="s">
        <v>427</v>
      </c>
      <c r="K124">
        <v>1</v>
      </c>
    </row>
    <row r="125" spans="4:11" x14ac:dyDescent="0.25">
      <c r="D125" t="str">
        <f t="shared" si="3"/>
        <v>035143</v>
      </c>
      <c r="E125">
        <v>35143</v>
      </c>
      <c r="F125" t="s">
        <v>428</v>
      </c>
      <c r="G125" t="s">
        <v>429</v>
      </c>
      <c r="I125" s="3" t="s">
        <v>430</v>
      </c>
      <c r="J125">
        <v>612829997</v>
      </c>
      <c r="K125">
        <v>1</v>
      </c>
    </row>
    <row r="126" spans="4:11" x14ac:dyDescent="0.25">
      <c r="D126" t="str">
        <f t="shared" si="3"/>
        <v>035416</v>
      </c>
      <c r="E126">
        <v>35416</v>
      </c>
      <c r="F126" t="s">
        <v>431</v>
      </c>
      <c r="G126" t="s">
        <v>432</v>
      </c>
      <c r="I126" t="s">
        <v>147</v>
      </c>
      <c r="J126" t="s">
        <v>147</v>
      </c>
      <c r="K126">
        <v>1</v>
      </c>
    </row>
    <row r="127" spans="4:11" x14ac:dyDescent="0.25">
      <c r="D127" t="str">
        <f t="shared" si="3"/>
        <v>035148</v>
      </c>
      <c r="E127">
        <v>35148</v>
      </c>
      <c r="F127" t="s">
        <v>433</v>
      </c>
      <c r="G127" t="s">
        <v>434</v>
      </c>
      <c r="I127" t="s">
        <v>147</v>
      </c>
      <c r="J127" t="s">
        <v>147</v>
      </c>
      <c r="K127">
        <v>1</v>
      </c>
    </row>
    <row r="128" spans="4:11" x14ac:dyDescent="0.25">
      <c r="D128" t="str">
        <f t="shared" si="3"/>
        <v>035327</v>
      </c>
      <c r="E128">
        <v>35327</v>
      </c>
      <c r="F128" t="s">
        <v>435</v>
      </c>
      <c r="G128" t="s">
        <v>436</v>
      </c>
      <c r="I128" t="s">
        <v>437</v>
      </c>
      <c r="J128" t="s">
        <v>438</v>
      </c>
      <c r="K128">
        <v>1</v>
      </c>
    </row>
    <row r="129" spans="4:11" x14ac:dyDescent="0.25">
      <c r="D129" t="str">
        <f t="shared" si="3"/>
        <v>035360</v>
      </c>
      <c r="E129">
        <v>35360</v>
      </c>
      <c r="F129" t="s">
        <v>439</v>
      </c>
      <c r="G129" t="s">
        <v>440</v>
      </c>
      <c r="I129" t="s">
        <v>147</v>
      </c>
      <c r="J129" t="s">
        <v>147</v>
      </c>
      <c r="K129">
        <v>1</v>
      </c>
    </row>
    <row r="130" spans="4:11" x14ac:dyDescent="0.25">
      <c r="D130" t="str">
        <f t="shared" si="3"/>
        <v>035307</v>
      </c>
      <c r="E130">
        <v>35307</v>
      </c>
      <c r="F130" t="s">
        <v>441</v>
      </c>
      <c r="G130" t="s">
        <v>442</v>
      </c>
      <c r="I130" t="s">
        <v>147</v>
      </c>
      <c r="J130" t="s">
        <v>147</v>
      </c>
      <c r="K130">
        <v>1</v>
      </c>
    </row>
    <row r="131" spans="4:11" x14ac:dyDescent="0.25">
      <c r="D131" t="str">
        <f t="shared" si="3"/>
        <v>035201</v>
      </c>
      <c r="E131">
        <v>35201</v>
      </c>
      <c r="F131" t="s">
        <v>443</v>
      </c>
      <c r="G131" t="s">
        <v>444</v>
      </c>
      <c r="I131" t="s">
        <v>147</v>
      </c>
      <c r="J131" t="s">
        <v>147</v>
      </c>
      <c r="K131">
        <v>1</v>
      </c>
    </row>
    <row r="132" spans="4:11" x14ac:dyDescent="0.25">
      <c r="D132" t="str">
        <f t="shared" ref="D132:D163" si="4">TEXT(E132,"000000")</f>
        <v>203332</v>
      </c>
      <c r="E132">
        <v>203332</v>
      </c>
      <c r="F132" t="s">
        <v>445</v>
      </c>
      <c r="G132" t="s">
        <v>446</v>
      </c>
      <c r="I132" t="s">
        <v>447</v>
      </c>
      <c r="J132" t="s">
        <v>448</v>
      </c>
      <c r="K132">
        <v>1</v>
      </c>
    </row>
    <row r="133" spans="4:11" x14ac:dyDescent="0.25">
      <c r="D133" t="str">
        <f t="shared" si="4"/>
        <v>034952</v>
      </c>
      <c r="E133">
        <v>34952</v>
      </c>
      <c r="F133" t="s">
        <v>449</v>
      </c>
      <c r="G133" t="s">
        <v>450</v>
      </c>
      <c r="I133" t="s">
        <v>147</v>
      </c>
      <c r="J133" t="s">
        <v>147</v>
      </c>
      <c r="K133">
        <v>1</v>
      </c>
    </row>
    <row r="134" spans="4:11" x14ac:dyDescent="0.25">
      <c r="D134" t="str">
        <f t="shared" si="4"/>
        <v>034959</v>
      </c>
      <c r="E134">
        <v>34959</v>
      </c>
      <c r="F134" t="s">
        <v>451</v>
      </c>
      <c r="G134" t="s">
        <v>452</v>
      </c>
      <c r="I134" t="s">
        <v>147</v>
      </c>
      <c r="J134" t="s">
        <v>147</v>
      </c>
      <c r="K134">
        <v>1</v>
      </c>
    </row>
    <row r="135" spans="4:11" x14ac:dyDescent="0.25">
      <c r="D135" t="str">
        <f t="shared" si="4"/>
        <v>034966</v>
      </c>
      <c r="E135">
        <v>34966</v>
      </c>
      <c r="F135" t="s">
        <v>453</v>
      </c>
      <c r="G135" t="s">
        <v>454</v>
      </c>
      <c r="I135" t="s">
        <v>147</v>
      </c>
      <c r="J135" t="s">
        <v>147</v>
      </c>
      <c r="K135">
        <v>1</v>
      </c>
    </row>
    <row r="136" spans="4:11" x14ac:dyDescent="0.25">
      <c r="D136" t="str">
        <f t="shared" si="4"/>
        <v>034962</v>
      </c>
      <c r="E136">
        <v>34962</v>
      </c>
      <c r="F136" t="s">
        <v>455</v>
      </c>
      <c r="G136" t="s">
        <v>456</v>
      </c>
      <c r="I136" t="s">
        <v>147</v>
      </c>
      <c r="J136" t="s">
        <v>147</v>
      </c>
      <c r="K136">
        <v>1</v>
      </c>
    </row>
    <row r="137" spans="4:11" x14ac:dyDescent="0.25">
      <c r="D137" t="str">
        <f t="shared" si="4"/>
        <v>203434</v>
      </c>
      <c r="E137">
        <v>203434</v>
      </c>
      <c r="F137" t="s">
        <v>457</v>
      </c>
      <c r="G137" t="s">
        <v>458</v>
      </c>
      <c r="I137" t="s">
        <v>459</v>
      </c>
      <c r="J137">
        <v>6704023403</v>
      </c>
      <c r="K137">
        <v>1</v>
      </c>
    </row>
    <row r="138" spans="4:11" x14ac:dyDescent="0.25">
      <c r="D138" t="str">
        <f t="shared" si="4"/>
        <v>201037</v>
      </c>
      <c r="E138">
        <v>201037</v>
      </c>
      <c r="F138" t="s">
        <v>460</v>
      </c>
      <c r="G138" t="s">
        <v>461</v>
      </c>
      <c r="I138" t="s">
        <v>462</v>
      </c>
      <c r="J138" t="s">
        <v>463</v>
      </c>
      <c r="K138">
        <v>1</v>
      </c>
    </row>
    <row r="139" spans="4:11" x14ac:dyDescent="0.25">
      <c r="D139" t="str">
        <f t="shared" si="4"/>
        <v>201263</v>
      </c>
      <c r="E139">
        <v>201263</v>
      </c>
      <c r="F139" t="s">
        <v>464</v>
      </c>
      <c r="G139" t="s">
        <v>465</v>
      </c>
      <c r="I139" t="s">
        <v>466</v>
      </c>
      <c r="J139" t="s">
        <v>467</v>
      </c>
      <c r="K139">
        <v>1</v>
      </c>
    </row>
    <row r="140" spans="4:11" x14ac:dyDescent="0.25">
      <c r="D140" t="str">
        <f t="shared" si="4"/>
        <v>034905</v>
      </c>
      <c r="E140">
        <v>34905</v>
      </c>
      <c r="F140" t="s">
        <v>468</v>
      </c>
      <c r="G140" t="s">
        <v>469</v>
      </c>
      <c r="I140" t="s">
        <v>147</v>
      </c>
      <c r="J140" t="s">
        <v>147</v>
      </c>
      <c r="K140">
        <v>1</v>
      </c>
    </row>
    <row r="141" spans="4:11" x14ac:dyDescent="0.25">
      <c r="D141" t="str">
        <f t="shared" si="4"/>
        <v>034791</v>
      </c>
      <c r="E141">
        <v>34791</v>
      </c>
      <c r="F141" t="s">
        <v>470</v>
      </c>
      <c r="G141" t="s">
        <v>471</v>
      </c>
      <c r="I141" t="s">
        <v>472</v>
      </c>
      <c r="J141" t="s">
        <v>473</v>
      </c>
      <c r="K141">
        <v>1</v>
      </c>
    </row>
    <row r="142" spans="4:11" x14ac:dyDescent="0.25">
      <c r="D142" t="str">
        <f t="shared" si="4"/>
        <v>200444</v>
      </c>
      <c r="E142">
        <v>200444</v>
      </c>
      <c r="F142" t="s">
        <v>474</v>
      </c>
      <c r="G142" t="s">
        <v>475</v>
      </c>
      <c r="I142" t="s">
        <v>147</v>
      </c>
      <c r="J142" t="s">
        <v>147</v>
      </c>
      <c r="K142">
        <v>1</v>
      </c>
    </row>
    <row r="143" spans="4:11" x14ac:dyDescent="0.25">
      <c r="D143" t="str">
        <f t="shared" si="4"/>
        <v>037326</v>
      </c>
      <c r="E143">
        <v>37326</v>
      </c>
      <c r="F143" t="s">
        <v>476</v>
      </c>
      <c r="G143" t="s">
        <v>477</v>
      </c>
      <c r="I143" t="s">
        <v>478</v>
      </c>
      <c r="J143" t="s">
        <v>479</v>
      </c>
      <c r="K143">
        <v>1</v>
      </c>
    </row>
    <row r="144" spans="4:11" x14ac:dyDescent="0.25">
      <c r="D144" t="str">
        <f t="shared" si="4"/>
        <v>910020</v>
      </c>
      <c r="E144">
        <v>910020</v>
      </c>
      <c r="F144" t="s">
        <v>480</v>
      </c>
      <c r="G144" t="s">
        <v>481</v>
      </c>
      <c r="I144" t="s">
        <v>147</v>
      </c>
      <c r="J144" t="s">
        <v>147</v>
      </c>
      <c r="K144">
        <v>1</v>
      </c>
    </row>
    <row r="145" spans="4:11" x14ac:dyDescent="0.25">
      <c r="D145" t="str">
        <f t="shared" si="4"/>
        <v>037744</v>
      </c>
      <c r="E145">
        <v>37744</v>
      </c>
      <c r="F145" t="s">
        <v>482</v>
      </c>
      <c r="G145" t="s">
        <v>483</v>
      </c>
      <c r="I145" t="s">
        <v>484</v>
      </c>
      <c r="J145" t="s">
        <v>485</v>
      </c>
      <c r="K145">
        <v>1</v>
      </c>
    </row>
    <row r="146" spans="4:11" x14ac:dyDescent="0.25">
      <c r="D146" t="str">
        <f t="shared" si="4"/>
        <v>201806</v>
      </c>
      <c r="E146">
        <v>201806</v>
      </c>
      <c r="F146" t="s">
        <v>486</v>
      </c>
      <c r="G146" t="s">
        <v>487</v>
      </c>
      <c r="I146" t="s">
        <v>147</v>
      </c>
      <c r="J146" t="s">
        <v>147</v>
      </c>
      <c r="K146">
        <v>1</v>
      </c>
    </row>
    <row r="147" spans="4:11" x14ac:dyDescent="0.25">
      <c r="D147" t="str">
        <f t="shared" si="4"/>
        <v>034936</v>
      </c>
      <c r="E147">
        <v>34936</v>
      </c>
      <c r="F147" t="s">
        <v>488</v>
      </c>
      <c r="G147" t="s">
        <v>489</v>
      </c>
      <c r="I147" t="s">
        <v>147</v>
      </c>
      <c r="J147" t="s">
        <v>147</v>
      </c>
      <c r="K147">
        <v>1</v>
      </c>
    </row>
    <row r="148" spans="4:11" x14ac:dyDescent="0.25">
      <c r="D148" t="str">
        <f t="shared" si="4"/>
        <v>037757</v>
      </c>
      <c r="E148">
        <v>37757</v>
      </c>
      <c r="F148" t="s">
        <v>490</v>
      </c>
      <c r="G148" t="s">
        <v>491</v>
      </c>
      <c r="I148" t="s">
        <v>492</v>
      </c>
      <c r="J148" t="s">
        <v>493</v>
      </c>
      <c r="K148">
        <v>1</v>
      </c>
    </row>
    <row r="149" spans="4:11" x14ac:dyDescent="0.25">
      <c r="D149" t="str">
        <f t="shared" si="4"/>
        <v>032446</v>
      </c>
      <c r="E149">
        <v>32446</v>
      </c>
      <c r="F149" t="s">
        <v>494</v>
      </c>
      <c r="G149" t="s">
        <v>495</v>
      </c>
      <c r="I149" t="s">
        <v>496</v>
      </c>
      <c r="J149" t="s">
        <v>497</v>
      </c>
      <c r="K149">
        <v>1</v>
      </c>
    </row>
    <row r="150" spans="4:11" x14ac:dyDescent="0.25">
      <c r="D150" t="str">
        <f t="shared" si="4"/>
        <v>035004</v>
      </c>
      <c r="E150">
        <v>35004</v>
      </c>
      <c r="F150" t="s">
        <v>498</v>
      </c>
      <c r="G150" t="s">
        <v>499</v>
      </c>
      <c r="I150" t="s">
        <v>500</v>
      </c>
      <c r="J150" t="s">
        <v>501</v>
      </c>
      <c r="K150">
        <v>1</v>
      </c>
    </row>
    <row r="151" spans="4:11" x14ac:dyDescent="0.25">
      <c r="D151" t="str">
        <f t="shared" si="4"/>
        <v>031148</v>
      </c>
      <c r="E151">
        <v>31148</v>
      </c>
      <c r="F151" t="s">
        <v>502</v>
      </c>
      <c r="G151" t="s">
        <v>503</v>
      </c>
      <c r="I151" t="s">
        <v>504</v>
      </c>
      <c r="J151" t="s">
        <v>505</v>
      </c>
      <c r="K151">
        <v>1</v>
      </c>
    </row>
    <row r="152" spans="4:11" x14ac:dyDescent="0.25">
      <c r="D152" t="str">
        <f t="shared" si="4"/>
        <v>034833</v>
      </c>
      <c r="E152">
        <v>34833</v>
      </c>
      <c r="F152" t="s">
        <v>506</v>
      </c>
      <c r="G152" t="s">
        <v>507</v>
      </c>
      <c r="I152" t="s">
        <v>508</v>
      </c>
      <c r="J152" t="s">
        <v>509</v>
      </c>
      <c r="K152">
        <v>1</v>
      </c>
    </row>
    <row r="153" spans="4:11" x14ac:dyDescent="0.25">
      <c r="D153" t="str">
        <f t="shared" si="4"/>
        <v>034830</v>
      </c>
      <c r="E153">
        <v>34830</v>
      </c>
      <c r="F153" t="s">
        <v>510</v>
      </c>
      <c r="G153" t="s">
        <v>511</v>
      </c>
      <c r="I153" t="s">
        <v>147</v>
      </c>
      <c r="J153" t="s">
        <v>147</v>
      </c>
      <c r="K153">
        <v>1</v>
      </c>
    </row>
    <row r="154" spans="4:11" x14ac:dyDescent="0.25">
      <c r="D154" t="str">
        <f t="shared" si="4"/>
        <v>034838</v>
      </c>
      <c r="E154">
        <v>34838</v>
      </c>
      <c r="F154" t="s">
        <v>512</v>
      </c>
      <c r="G154" t="s">
        <v>513</v>
      </c>
      <c r="I154" t="s">
        <v>514</v>
      </c>
      <c r="J154" t="s">
        <v>515</v>
      </c>
      <c r="K154">
        <v>1</v>
      </c>
    </row>
    <row r="155" spans="4:11" x14ac:dyDescent="0.25">
      <c r="D155" t="str">
        <f t="shared" si="4"/>
        <v>200783</v>
      </c>
      <c r="E155">
        <v>200783</v>
      </c>
      <c r="F155" t="s">
        <v>516</v>
      </c>
      <c r="G155" t="s">
        <v>517</v>
      </c>
      <c r="I155" t="s">
        <v>147</v>
      </c>
      <c r="J155" t="s">
        <v>147</v>
      </c>
      <c r="K155">
        <v>1</v>
      </c>
    </row>
    <row r="156" spans="4:11" x14ac:dyDescent="0.25">
      <c r="D156" t="str">
        <f t="shared" si="4"/>
        <v>035016</v>
      </c>
      <c r="E156">
        <v>35016</v>
      </c>
      <c r="F156" t="s">
        <v>518</v>
      </c>
      <c r="G156" t="s">
        <v>519</v>
      </c>
      <c r="I156" t="s">
        <v>147</v>
      </c>
      <c r="J156" t="s">
        <v>147</v>
      </c>
      <c r="K156">
        <v>1</v>
      </c>
    </row>
    <row r="157" spans="4:11" x14ac:dyDescent="0.25">
      <c r="D157" t="str">
        <f t="shared" si="4"/>
        <v>035310</v>
      </c>
      <c r="E157">
        <v>35310</v>
      </c>
      <c r="F157" t="s">
        <v>520</v>
      </c>
      <c r="G157" t="s">
        <v>521</v>
      </c>
      <c r="I157" t="s">
        <v>147</v>
      </c>
      <c r="J157" t="s">
        <v>147</v>
      </c>
      <c r="K157">
        <v>1</v>
      </c>
    </row>
    <row r="158" spans="4:11" x14ac:dyDescent="0.25">
      <c r="D158" t="str">
        <f t="shared" si="4"/>
        <v>035348</v>
      </c>
      <c r="E158">
        <v>35348</v>
      </c>
      <c r="F158" t="s">
        <v>522</v>
      </c>
      <c r="G158" t="s">
        <v>523</v>
      </c>
      <c r="I158" t="s">
        <v>524</v>
      </c>
      <c r="J158" t="s">
        <v>525</v>
      </c>
      <c r="K158">
        <v>1</v>
      </c>
    </row>
    <row r="159" spans="4:11" x14ac:dyDescent="0.25">
      <c r="D159" t="str">
        <f t="shared" si="4"/>
        <v>035260</v>
      </c>
      <c r="E159">
        <v>35260</v>
      </c>
      <c r="F159" t="s">
        <v>526</v>
      </c>
      <c r="G159" t="s">
        <v>527</v>
      </c>
      <c r="I159" t="s">
        <v>147</v>
      </c>
      <c r="J159" t="s">
        <v>147</v>
      </c>
      <c r="K159">
        <v>1</v>
      </c>
    </row>
    <row r="160" spans="4:11" x14ac:dyDescent="0.25">
      <c r="D160" t="str">
        <f t="shared" si="4"/>
        <v>035132</v>
      </c>
      <c r="E160">
        <v>35132</v>
      </c>
      <c r="F160" t="s">
        <v>528</v>
      </c>
      <c r="G160" t="s">
        <v>529</v>
      </c>
      <c r="I160" s="3" t="s">
        <v>530</v>
      </c>
      <c r="J160" t="s">
        <v>531</v>
      </c>
      <c r="K160">
        <v>1</v>
      </c>
    </row>
    <row r="161" spans="4:11" x14ac:dyDescent="0.25">
      <c r="D161" t="str">
        <f t="shared" si="4"/>
        <v>032457</v>
      </c>
      <c r="E161">
        <v>32457</v>
      </c>
      <c r="F161" t="s">
        <v>532</v>
      </c>
      <c r="G161" t="s">
        <v>533</v>
      </c>
      <c r="I161" t="s">
        <v>147</v>
      </c>
      <c r="J161" t="s">
        <v>147</v>
      </c>
      <c r="K161">
        <v>1</v>
      </c>
    </row>
    <row r="162" spans="4:11" x14ac:dyDescent="0.25">
      <c r="D162" t="str">
        <f t="shared" si="4"/>
        <v>032465</v>
      </c>
      <c r="E162">
        <v>32465</v>
      </c>
      <c r="F162" t="s">
        <v>534</v>
      </c>
      <c r="G162" t="s">
        <v>535</v>
      </c>
      <c r="I162" t="s">
        <v>147</v>
      </c>
      <c r="J162" t="s">
        <v>147</v>
      </c>
      <c r="K162">
        <v>1</v>
      </c>
    </row>
    <row r="163" spans="4:11" x14ac:dyDescent="0.25">
      <c r="D163" t="str">
        <f t="shared" si="4"/>
        <v>102945</v>
      </c>
      <c r="E163">
        <v>102945</v>
      </c>
      <c r="F163" t="s">
        <v>536</v>
      </c>
      <c r="G163" t="s">
        <v>537</v>
      </c>
      <c r="I163" t="s">
        <v>538</v>
      </c>
      <c r="J163" t="s">
        <v>539</v>
      </c>
      <c r="K163">
        <v>1</v>
      </c>
    </row>
    <row r="164" spans="4:11" x14ac:dyDescent="0.25">
      <c r="D164" t="str">
        <f t="shared" ref="D164:D195" si="5">TEXT(E164,"000000")</f>
        <v>200800</v>
      </c>
      <c r="E164">
        <v>200800</v>
      </c>
      <c r="F164" t="s">
        <v>540</v>
      </c>
      <c r="G164" t="s">
        <v>541</v>
      </c>
      <c r="I164" t="s">
        <v>542</v>
      </c>
      <c r="J164" t="s">
        <v>543</v>
      </c>
      <c r="K164">
        <v>1</v>
      </c>
    </row>
    <row r="165" spans="4:11" x14ac:dyDescent="0.25">
      <c r="D165" t="str">
        <f t="shared" si="5"/>
        <v>102587</v>
      </c>
      <c r="E165">
        <v>102587</v>
      </c>
      <c r="F165" t="s">
        <v>544</v>
      </c>
      <c r="G165" t="s">
        <v>545</v>
      </c>
      <c r="I165" t="s">
        <v>147</v>
      </c>
      <c r="J165" t="s">
        <v>147</v>
      </c>
      <c r="K165">
        <v>1</v>
      </c>
    </row>
    <row r="166" spans="4:11" x14ac:dyDescent="0.25">
      <c r="D166" t="str">
        <f t="shared" si="5"/>
        <v>034800</v>
      </c>
      <c r="E166">
        <v>34800</v>
      </c>
      <c r="F166" t="s">
        <v>546</v>
      </c>
      <c r="G166" t="s">
        <v>547</v>
      </c>
      <c r="I166" t="s">
        <v>147</v>
      </c>
      <c r="J166" t="s">
        <v>147</v>
      </c>
      <c r="K166">
        <v>1</v>
      </c>
    </row>
    <row r="167" spans="4:11" x14ac:dyDescent="0.25">
      <c r="D167" t="str">
        <f t="shared" si="5"/>
        <v>201824</v>
      </c>
      <c r="E167">
        <v>201824</v>
      </c>
      <c r="F167" t="s">
        <v>548</v>
      </c>
      <c r="G167" t="s">
        <v>549</v>
      </c>
      <c r="I167" t="s">
        <v>147</v>
      </c>
      <c r="J167" t="s">
        <v>147</v>
      </c>
      <c r="K167">
        <v>1</v>
      </c>
    </row>
    <row r="168" spans="4:11" x14ac:dyDescent="0.25">
      <c r="D168" t="str">
        <f t="shared" si="5"/>
        <v>034810</v>
      </c>
      <c r="E168">
        <v>34810</v>
      </c>
      <c r="F168" t="s">
        <v>550</v>
      </c>
      <c r="G168" t="s">
        <v>551</v>
      </c>
      <c r="I168" t="s">
        <v>552</v>
      </c>
      <c r="J168" t="s">
        <v>553</v>
      </c>
      <c r="K168">
        <v>1</v>
      </c>
    </row>
    <row r="169" spans="4:11" x14ac:dyDescent="0.25">
      <c r="D169" t="str">
        <f t="shared" si="5"/>
        <v>035200</v>
      </c>
      <c r="E169">
        <v>35200</v>
      </c>
      <c r="F169" t="s">
        <v>554</v>
      </c>
      <c r="G169" t="s">
        <v>555</v>
      </c>
      <c r="I169" t="s">
        <v>147</v>
      </c>
      <c r="J169" t="s">
        <v>147</v>
      </c>
      <c r="K169">
        <v>1</v>
      </c>
    </row>
    <row r="170" spans="4:11" x14ac:dyDescent="0.25">
      <c r="D170" t="str">
        <f t="shared" si="5"/>
        <v>035289</v>
      </c>
      <c r="E170">
        <v>35289</v>
      </c>
      <c r="F170" t="s">
        <v>556</v>
      </c>
      <c r="G170" t="s">
        <v>557</v>
      </c>
      <c r="I170" t="s">
        <v>558</v>
      </c>
      <c r="J170" t="s">
        <v>559</v>
      </c>
      <c r="K170">
        <v>1</v>
      </c>
    </row>
    <row r="171" spans="4:11" x14ac:dyDescent="0.25">
      <c r="D171" t="str">
        <f t="shared" si="5"/>
        <v>064329</v>
      </c>
      <c r="E171">
        <v>64329</v>
      </c>
      <c r="F171" t="s">
        <v>560</v>
      </c>
      <c r="G171" t="s">
        <v>561</v>
      </c>
      <c r="I171" t="s">
        <v>147</v>
      </c>
      <c r="J171" t="s">
        <v>147</v>
      </c>
      <c r="K171">
        <v>1</v>
      </c>
    </row>
    <row r="172" spans="4:11" x14ac:dyDescent="0.25">
      <c r="D172" t="str">
        <f t="shared" si="5"/>
        <v>032454</v>
      </c>
      <c r="E172">
        <v>32454</v>
      </c>
      <c r="F172" t="s">
        <v>562</v>
      </c>
      <c r="G172" t="s">
        <v>563</v>
      </c>
      <c r="I172" t="s">
        <v>564</v>
      </c>
      <c r="J172" t="s">
        <v>565</v>
      </c>
      <c r="K172">
        <v>1</v>
      </c>
    </row>
    <row r="173" spans="4:11" x14ac:dyDescent="0.25">
      <c r="D173" t="str">
        <f t="shared" si="5"/>
        <v>034999</v>
      </c>
      <c r="E173">
        <v>34999</v>
      </c>
      <c r="F173" t="s">
        <v>566</v>
      </c>
      <c r="G173" t="s">
        <v>567</v>
      </c>
      <c r="I173" t="s">
        <v>568</v>
      </c>
      <c r="J173" t="s">
        <v>569</v>
      </c>
      <c r="K173">
        <v>1</v>
      </c>
    </row>
    <row r="174" spans="4:11" x14ac:dyDescent="0.25">
      <c r="D174" t="str">
        <f t="shared" si="5"/>
        <v>100565</v>
      </c>
      <c r="E174">
        <v>100565</v>
      </c>
      <c r="F174" t="s">
        <v>570</v>
      </c>
      <c r="G174" t="s">
        <v>571</v>
      </c>
      <c r="I174" t="s">
        <v>572</v>
      </c>
      <c r="J174" t="s">
        <v>573</v>
      </c>
      <c r="K174">
        <v>1</v>
      </c>
    </row>
    <row r="175" spans="4:11" x14ac:dyDescent="0.25">
      <c r="D175" t="str">
        <f t="shared" si="5"/>
        <v>034796</v>
      </c>
      <c r="E175">
        <v>34796</v>
      </c>
      <c r="F175" t="s">
        <v>574</v>
      </c>
      <c r="G175" t="s">
        <v>575</v>
      </c>
      <c r="I175" t="s">
        <v>576</v>
      </c>
      <c r="J175" t="s">
        <v>577</v>
      </c>
      <c r="K175">
        <v>1</v>
      </c>
    </row>
    <row r="176" spans="4:11" x14ac:dyDescent="0.25">
      <c r="D176" t="str">
        <f t="shared" si="5"/>
        <v>200702</v>
      </c>
      <c r="E176">
        <v>200702</v>
      </c>
      <c r="F176" t="s">
        <v>578</v>
      </c>
      <c r="G176" t="s">
        <v>579</v>
      </c>
      <c r="I176" t="s">
        <v>580</v>
      </c>
      <c r="J176" t="s">
        <v>581</v>
      </c>
      <c r="K176">
        <v>1</v>
      </c>
    </row>
    <row r="177" spans="4:11" x14ac:dyDescent="0.25">
      <c r="D177" t="str">
        <f t="shared" si="5"/>
        <v>101464</v>
      </c>
      <c r="E177">
        <v>101464</v>
      </c>
      <c r="F177" t="s">
        <v>582</v>
      </c>
      <c r="G177" t="s">
        <v>583</v>
      </c>
      <c r="I177" t="s">
        <v>584</v>
      </c>
      <c r="J177" t="s">
        <v>585</v>
      </c>
      <c r="K177">
        <v>1</v>
      </c>
    </row>
    <row r="178" spans="4:11" x14ac:dyDescent="0.25">
      <c r="D178" t="str">
        <f t="shared" si="5"/>
        <v>035076</v>
      </c>
      <c r="E178">
        <v>35076</v>
      </c>
      <c r="F178" t="s">
        <v>586</v>
      </c>
      <c r="G178" t="s">
        <v>587</v>
      </c>
      <c r="I178" t="s">
        <v>588</v>
      </c>
      <c r="J178" t="s">
        <v>589</v>
      </c>
      <c r="K178">
        <v>1</v>
      </c>
    </row>
    <row r="179" spans="4:11" x14ac:dyDescent="0.25">
      <c r="D179" t="str">
        <f t="shared" si="5"/>
        <v>032580</v>
      </c>
      <c r="E179">
        <v>32580</v>
      </c>
      <c r="F179" t="s">
        <v>590</v>
      </c>
      <c r="G179" t="s">
        <v>591</v>
      </c>
      <c r="I179" t="s">
        <v>147</v>
      </c>
      <c r="J179" t="s">
        <v>147</v>
      </c>
      <c r="K179">
        <v>1</v>
      </c>
    </row>
    <row r="180" spans="4:11" x14ac:dyDescent="0.25">
      <c r="D180" t="str">
        <f t="shared" si="5"/>
        <v>032408</v>
      </c>
      <c r="E180">
        <v>32408</v>
      </c>
      <c r="F180" t="s">
        <v>592</v>
      </c>
      <c r="G180" t="s">
        <v>593</v>
      </c>
      <c r="I180" t="s">
        <v>594</v>
      </c>
      <c r="J180" t="s">
        <v>595</v>
      </c>
      <c r="K180">
        <v>1</v>
      </c>
    </row>
    <row r="181" spans="4:11" x14ac:dyDescent="0.25">
      <c r="D181" t="str">
        <f t="shared" si="5"/>
        <v>035288</v>
      </c>
      <c r="E181">
        <v>35288</v>
      </c>
      <c r="F181" t="s">
        <v>596</v>
      </c>
      <c r="G181" t="s">
        <v>597</v>
      </c>
      <c r="I181" t="s">
        <v>598</v>
      </c>
      <c r="J181" t="s">
        <v>599</v>
      </c>
      <c r="K181">
        <v>1</v>
      </c>
    </row>
    <row r="182" spans="4:11" x14ac:dyDescent="0.25">
      <c r="D182" t="str">
        <f t="shared" si="5"/>
        <v>037726</v>
      </c>
      <c r="E182">
        <v>37726</v>
      </c>
      <c r="F182" t="s">
        <v>600</v>
      </c>
      <c r="G182" t="s">
        <v>601</v>
      </c>
      <c r="I182" t="s">
        <v>602</v>
      </c>
      <c r="J182" t="s">
        <v>603</v>
      </c>
      <c r="K182">
        <v>1</v>
      </c>
    </row>
    <row r="183" spans="4:11" x14ac:dyDescent="0.25">
      <c r="D183" t="str">
        <f t="shared" si="5"/>
        <v>035264</v>
      </c>
      <c r="E183">
        <v>35264</v>
      </c>
      <c r="F183" t="s">
        <v>604</v>
      </c>
      <c r="G183" t="s">
        <v>605</v>
      </c>
      <c r="I183" t="s">
        <v>606</v>
      </c>
      <c r="J183" t="s">
        <v>607</v>
      </c>
      <c r="K183">
        <v>1</v>
      </c>
    </row>
    <row r="184" spans="4:11" x14ac:dyDescent="0.25">
      <c r="D184" t="str">
        <f t="shared" si="5"/>
        <v>200696</v>
      </c>
      <c r="E184">
        <v>200696</v>
      </c>
      <c r="F184" t="s">
        <v>608</v>
      </c>
      <c r="G184" t="s">
        <v>609</v>
      </c>
      <c r="I184" t="s">
        <v>147</v>
      </c>
      <c r="J184" t="s">
        <v>147</v>
      </c>
      <c r="K184">
        <v>1</v>
      </c>
    </row>
    <row r="185" spans="4:11" x14ac:dyDescent="0.25">
      <c r="D185" t="str">
        <f t="shared" si="5"/>
        <v>201234</v>
      </c>
      <c r="E185">
        <v>201234</v>
      </c>
      <c r="F185" t="s">
        <v>610</v>
      </c>
      <c r="G185" t="s">
        <v>611</v>
      </c>
      <c r="I185" t="s">
        <v>612</v>
      </c>
      <c r="J185">
        <v>613097353</v>
      </c>
      <c r="K185">
        <v>1</v>
      </c>
    </row>
    <row r="186" spans="4:11" x14ac:dyDescent="0.25">
      <c r="D186" t="str">
        <f t="shared" si="5"/>
        <v>034986</v>
      </c>
      <c r="E186">
        <v>34986</v>
      </c>
      <c r="F186" t="s">
        <v>613</v>
      </c>
      <c r="G186" t="s">
        <v>614</v>
      </c>
      <c r="I186" t="s">
        <v>615</v>
      </c>
      <c r="J186" t="s">
        <v>616</v>
      </c>
      <c r="K186">
        <v>1</v>
      </c>
    </row>
    <row r="187" spans="4:11" x14ac:dyDescent="0.25">
      <c r="D187" t="str">
        <f t="shared" si="5"/>
        <v>034980</v>
      </c>
      <c r="E187">
        <v>34980</v>
      </c>
      <c r="F187" t="s">
        <v>617</v>
      </c>
      <c r="G187" t="s">
        <v>618</v>
      </c>
      <c r="I187" t="s">
        <v>619</v>
      </c>
      <c r="J187" t="s">
        <v>620</v>
      </c>
      <c r="K187">
        <v>1</v>
      </c>
    </row>
    <row r="188" spans="4:11" x14ac:dyDescent="0.25">
      <c r="D188" t="str">
        <f t="shared" si="5"/>
        <v>034976</v>
      </c>
      <c r="E188">
        <v>34976</v>
      </c>
      <c r="F188" t="s">
        <v>621</v>
      </c>
      <c r="G188" t="s">
        <v>622</v>
      </c>
      <c r="I188" t="s">
        <v>623</v>
      </c>
      <c r="J188" t="s">
        <v>624</v>
      </c>
      <c r="K188">
        <v>1</v>
      </c>
    </row>
    <row r="189" spans="4:11" x14ac:dyDescent="0.25">
      <c r="D189" t="str">
        <f t="shared" si="5"/>
        <v>034978</v>
      </c>
      <c r="E189">
        <v>34978</v>
      </c>
      <c r="F189" t="s">
        <v>625</v>
      </c>
      <c r="G189" t="s">
        <v>626</v>
      </c>
      <c r="I189" t="s">
        <v>381</v>
      </c>
      <c r="J189">
        <v>6206201119</v>
      </c>
      <c r="K189">
        <v>1</v>
      </c>
    </row>
    <row r="190" spans="4:11" x14ac:dyDescent="0.25">
      <c r="D190" t="str">
        <f t="shared" si="5"/>
        <v>034974</v>
      </c>
      <c r="E190">
        <v>34974</v>
      </c>
      <c r="F190" t="s">
        <v>627</v>
      </c>
      <c r="G190" t="s">
        <v>628</v>
      </c>
      <c r="I190" t="s">
        <v>147</v>
      </c>
      <c r="J190" t="s">
        <v>147</v>
      </c>
      <c r="K190">
        <v>1</v>
      </c>
    </row>
    <row r="191" spans="4:11" x14ac:dyDescent="0.25">
      <c r="D191" t="str">
        <f t="shared" si="5"/>
        <v>034979</v>
      </c>
      <c r="E191">
        <v>34979</v>
      </c>
      <c r="F191" t="s">
        <v>629</v>
      </c>
      <c r="G191" t="s">
        <v>630</v>
      </c>
      <c r="I191" t="s">
        <v>631</v>
      </c>
      <c r="J191" t="s">
        <v>632</v>
      </c>
      <c r="K191">
        <v>1</v>
      </c>
    </row>
    <row r="192" spans="4:11" x14ac:dyDescent="0.25">
      <c r="D192" t="str">
        <f t="shared" si="5"/>
        <v>034803</v>
      </c>
      <c r="E192">
        <v>34803</v>
      </c>
      <c r="F192" t="s">
        <v>633</v>
      </c>
      <c r="G192" t="s">
        <v>634</v>
      </c>
      <c r="I192" t="s">
        <v>635</v>
      </c>
      <c r="J192" t="s">
        <v>636</v>
      </c>
      <c r="K192">
        <v>1</v>
      </c>
    </row>
    <row r="193" spans="4:11" x14ac:dyDescent="0.25">
      <c r="D193" t="str">
        <f t="shared" si="5"/>
        <v>034931</v>
      </c>
      <c r="E193">
        <v>34931</v>
      </c>
      <c r="F193" t="s">
        <v>637</v>
      </c>
      <c r="G193" t="s">
        <v>638</v>
      </c>
      <c r="I193" t="s">
        <v>147</v>
      </c>
      <c r="J193" t="s">
        <v>147</v>
      </c>
      <c r="K193">
        <v>1</v>
      </c>
    </row>
    <row r="194" spans="4:11" x14ac:dyDescent="0.25">
      <c r="D194" t="str">
        <f t="shared" si="5"/>
        <v>203410</v>
      </c>
      <c r="E194">
        <v>203410</v>
      </c>
      <c r="F194" t="s">
        <v>639</v>
      </c>
      <c r="G194" t="s">
        <v>640</v>
      </c>
      <c r="I194" t="s">
        <v>641</v>
      </c>
      <c r="J194" t="s">
        <v>642</v>
      </c>
      <c r="K194">
        <v>1</v>
      </c>
    </row>
    <row r="195" spans="4:11" x14ac:dyDescent="0.25">
      <c r="D195" t="str">
        <f t="shared" si="5"/>
        <v>035006</v>
      </c>
      <c r="E195">
        <v>35006</v>
      </c>
      <c r="F195" t="s">
        <v>643</v>
      </c>
      <c r="G195" t="s">
        <v>644</v>
      </c>
      <c r="I195" t="s">
        <v>645</v>
      </c>
      <c r="J195" t="s">
        <v>646</v>
      </c>
      <c r="K195">
        <v>1</v>
      </c>
    </row>
    <row r="196" spans="4:11" x14ac:dyDescent="0.25">
      <c r="D196" t="str">
        <f t="shared" ref="D196:D203" si="6">TEXT(E196,"000000")</f>
        <v>032456</v>
      </c>
      <c r="E196">
        <v>32456</v>
      </c>
      <c r="F196" t="s">
        <v>647</v>
      </c>
      <c r="G196" t="s">
        <v>648</v>
      </c>
      <c r="I196" t="s">
        <v>649</v>
      </c>
      <c r="J196" t="s">
        <v>650</v>
      </c>
      <c r="K196">
        <v>1</v>
      </c>
    </row>
    <row r="197" spans="4:11" x14ac:dyDescent="0.25">
      <c r="D197" t="str">
        <f t="shared" si="6"/>
        <v>035007</v>
      </c>
      <c r="E197">
        <v>35007</v>
      </c>
      <c r="F197" t="s">
        <v>651</v>
      </c>
      <c r="G197" t="s">
        <v>652</v>
      </c>
      <c r="I197" t="s">
        <v>653</v>
      </c>
      <c r="J197" t="s">
        <v>654</v>
      </c>
      <c r="K197">
        <v>1</v>
      </c>
    </row>
    <row r="198" spans="4:11" x14ac:dyDescent="0.25">
      <c r="D198" t="str">
        <f t="shared" si="6"/>
        <v>035061</v>
      </c>
      <c r="E198">
        <v>35061</v>
      </c>
      <c r="F198" t="s">
        <v>655</v>
      </c>
      <c r="G198" t="s">
        <v>656</v>
      </c>
      <c r="I198" t="s">
        <v>657</v>
      </c>
      <c r="J198" t="s">
        <v>658</v>
      </c>
      <c r="K198">
        <v>1</v>
      </c>
    </row>
    <row r="199" spans="4:11" x14ac:dyDescent="0.25">
      <c r="D199" t="str">
        <f t="shared" si="6"/>
        <v>035053</v>
      </c>
      <c r="E199">
        <v>35053</v>
      </c>
      <c r="F199" t="s">
        <v>659</v>
      </c>
      <c r="G199" t="s">
        <v>660</v>
      </c>
      <c r="I199" t="s">
        <v>661</v>
      </c>
      <c r="J199" t="s">
        <v>662</v>
      </c>
      <c r="K199">
        <v>1</v>
      </c>
    </row>
    <row r="200" spans="4:11" x14ac:dyDescent="0.25">
      <c r="D200" t="str">
        <f t="shared" si="6"/>
        <v>035046</v>
      </c>
      <c r="E200">
        <v>35046</v>
      </c>
      <c r="F200" t="s">
        <v>663</v>
      </c>
      <c r="G200" t="s">
        <v>664</v>
      </c>
      <c r="I200" t="s">
        <v>665</v>
      </c>
      <c r="J200" t="s">
        <v>666</v>
      </c>
      <c r="K200">
        <v>1</v>
      </c>
    </row>
    <row r="201" spans="4:11" x14ac:dyDescent="0.25">
      <c r="D201" t="str">
        <f t="shared" si="6"/>
        <v>034808</v>
      </c>
      <c r="E201">
        <v>34808</v>
      </c>
      <c r="F201" t="s">
        <v>1167</v>
      </c>
      <c r="G201" t="s">
        <v>163</v>
      </c>
      <c r="I201" t="s">
        <v>164</v>
      </c>
      <c r="J201">
        <v>3258827</v>
      </c>
      <c r="K201">
        <v>1</v>
      </c>
    </row>
    <row r="202" spans="4:11" x14ac:dyDescent="0.25">
      <c r="D202" t="str">
        <f t="shared" si="6"/>
        <v>034827</v>
      </c>
      <c r="E202">
        <v>34827</v>
      </c>
      <c r="F202" t="s">
        <v>1223</v>
      </c>
      <c r="G202" t="s">
        <v>2826</v>
      </c>
      <c r="I202" t="s">
        <v>2827</v>
      </c>
      <c r="J202" t="s">
        <v>2828</v>
      </c>
      <c r="K202">
        <v>1</v>
      </c>
    </row>
    <row r="203" spans="4:11" x14ac:dyDescent="0.25">
      <c r="D203" t="str">
        <f t="shared" si="6"/>
        <v>034994</v>
      </c>
      <c r="E203">
        <v>34994</v>
      </c>
      <c r="F203" t="s">
        <v>1241</v>
      </c>
      <c r="G203" t="s">
        <v>2829</v>
      </c>
      <c r="I203" t="s">
        <v>2830</v>
      </c>
      <c r="J203" t="s">
        <v>370</v>
      </c>
      <c r="K203">
        <v>1</v>
      </c>
    </row>
    <row r="204" spans="4:11" x14ac:dyDescent="0.25">
      <c r="D204" t="str">
        <f t="shared" ref="D204:D211" si="7">TEXT(E204,"000000")</f>
        <v>038026</v>
      </c>
      <c r="E204">
        <v>38026</v>
      </c>
      <c r="F204" t="s">
        <v>1287</v>
      </c>
      <c r="G204" t="s">
        <v>193</v>
      </c>
      <c r="I204" t="s">
        <v>194</v>
      </c>
      <c r="J204" t="s">
        <v>195</v>
      </c>
      <c r="K204">
        <v>1</v>
      </c>
    </row>
    <row r="205" spans="4:11" x14ac:dyDescent="0.25">
      <c r="D205" t="str">
        <f t="shared" si="7"/>
        <v>035092</v>
      </c>
      <c r="E205">
        <v>35092</v>
      </c>
      <c r="F205" t="s">
        <v>1376</v>
      </c>
      <c r="G205" s="32" t="s">
        <v>2836</v>
      </c>
      <c r="I205" t="s">
        <v>2835</v>
      </c>
      <c r="J205" s="32" t="s">
        <v>2837</v>
      </c>
      <c r="K205">
        <v>1</v>
      </c>
    </row>
    <row r="206" spans="4:11" x14ac:dyDescent="0.25">
      <c r="D206" t="str">
        <f t="shared" si="7"/>
        <v>035109</v>
      </c>
      <c r="E206">
        <v>35109</v>
      </c>
      <c r="F206" t="s">
        <v>1390</v>
      </c>
      <c r="G206" t="s">
        <v>2838</v>
      </c>
      <c r="I206" t="s">
        <v>2839</v>
      </c>
      <c r="J206">
        <v>3612584205</v>
      </c>
      <c r="K206">
        <v>1</v>
      </c>
    </row>
    <row r="207" spans="4:11" x14ac:dyDescent="0.25">
      <c r="D207" t="str">
        <f t="shared" si="7"/>
        <v>203697</v>
      </c>
      <c r="E207">
        <v>203697</v>
      </c>
      <c r="F207" t="s">
        <v>1401</v>
      </c>
      <c r="G207" t="s">
        <v>2840</v>
      </c>
      <c r="I207" t="s">
        <v>2841</v>
      </c>
      <c r="J207">
        <v>612502710</v>
      </c>
      <c r="K207">
        <v>1</v>
      </c>
    </row>
    <row r="208" spans="4:11" x14ac:dyDescent="0.25">
      <c r="D208" t="str">
        <f t="shared" si="7"/>
        <v>203494</v>
      </c>
      <c r="E208">
        <v>203494</v>
      </c>
      <c r="F208" t="s">
        <v>1717</v>
      </c>
      <c r="G208" t="s">
        <v>2842</v>
      </c>
      <c r="I208" t="s">
        <v>2843</v>
      </c>
      <c r="J208">
        <v>36205564721</v>
      </c>
      <c r="K208">
        <v>1</v>
      </c>
    </row>
    <row r="209" spans="4:11" x14ac:dyDescent="0.25">
      <c r="D209" t="str">
        <f t="shared" si="7"/>
        <v>201824</v>
      </c>
      <c r="E209">
        <v>201824</v>
      </c>
      <c r="F209" t="s">
        <v>1615</v>
      </c>
      <c r="G209" t="s">
        <v>549</v>
      </c>
      <c r="I209" t="s">
        <v>2852</v>
      </c>
      <c r="J209" t="s">
        <v>2851</v>
      </c>
      <c r="K209">
        <v>1</v>
      </c>
    </row>
    <row r="210" spans="4:11" x14ac:dyDescent="0.25">
      <c r="D210" t="str">
        <f t="shared" si="7"/>
        <v>200696</v>
      </c>
      <c r="E210">
        <v>200696</v>
      </c>
      <c r="F210" t="s">
        <v>1634</v>
      </c>
      <c r="G210" t="s">
        <v>609</v>
      </c>
      <c r="I210" t="s">
        <v>2853</v>
      </c>
      <c r="J210" t="s">
        <v>2854</v>
      </c>
      <c r="K210">
        <v>1</v>
      </c>
    </row>
    <row r="211" spans="4:11" x14ac:dyDescent="0.25">
      <c r="D211" t="str">
        <f t="shared" si="7"/>
        <v>202765</v>
      </c>
      <c r="E211" s="32">
        <v>202765</v>
      </c>
      <c r="F211" t="s">
        <v>1666</v>
      </c>
      <c r="G211" t="s">
        <v>2850</v>
      </c>
      <c r="I211" t="s">
        <v>2849</v>
      </c>
      <c r="J211" t="s">
        <v>2848</v>
      </c>
      <c r="K211">
        <v>1</v>
      </c>
    </row>
    <row r="212" spans="4:11" x14ac:dyDescent="0.25">
      <c r="D212" t="str">
        <f t="shared" ref="D212:D219" si="8">TEXT(E212,"000000")</f>
        <v>037723</v>
      </c>
      <c r="E212">
        <v>37723</v>
      </c>
      <c r="F212" t="s">
        <v>1872</v>
      </c>
      <c r="G212" t="s">
        <v>2864</v>
      </c>
      <c r="I212" t="s">
        <v>2866</v>
      </c>
      <c r="J212" t="s">
        <v>2865</v>
      </c>
      <c r="K212">
        <v>1</v>
      </c>
    </row>
    <row r="213" spans="4:11" x14ac:dyDescent="0.25">
      <c r="D213" t="str">
        <f t="shared" si="8"/>
        <v>201000</v>
      </c>
      <c r="E213">
        <v>201000</v>
      </c>
      <c r="F213" t="s">
        <v>1928</v>
      </c>
      <c r="G213" t="s">
        <v>2863</v>
      </c>
      <c r="I213" t="s">
        <v>2862</v>
      </c>
      <c r="J213" t="s">
        <v>2861</v>
      </c>
      <c r="K213">
        <v>1</v>
      </c>
    </row>
    <row r="214" spans="4:11" x14ac:dyDescent="0.25">
      <c r="D214" t="str">
        <f t="shared" si="8"/>
        <v>032403</v>
      </c>
      <c r="E214">
        <v>32403</v>
      </c>
      <c r="F214" t="s">
        <v>1949</v>
      </c>
      <c r="G214" t="s">
        <v>2858</v>
      </c>
      <c r="I214" t="s">
        <v>2860</v>
      </c>
      <c r="J214" t="s">
        <v>2859</v>
      </c>
      <c r="K214">
        <v>1</v>
      </c>
    </row>
    <row r="215" spans="4:11" x14ac:dyDescent="0.25">
      <c r="D215" t="str">
        <f t="shared" si="8"/>
        <v>032452</v>
      </c>
      <c r="E215">
        <v>32452</v>
      </c>
      <c r="F215" t="s">
        <v>2151</v>
      </c>
      <c r="G215" t="s">
        <v>2871</v>
      </c>
      <c r="I215" t="s">
        <v>2873</v>
      </c>
      <c r="J215" s="35" t="s">
        <v>2872</v>
      </c>
      <c r="K215">
        <v>1</v>
      </c>
    </row>
    <row r="216" spans="4:11" x14ac:dyDescent="0.25">
      <c r="D216" t="str">
        <f t="shared" si="8"/>
        <v>034858</v>
      </c>
      <c r="E216">
        <v>34858</v>
      </c>
      <c r="F216" t="s">
        <v>2233</v>
      </c>
      <c r="G216" t="s">
        <v>2874</v>
      </c>
      <c r="I216" t="s">
        <v>2875</v>
      </c>
      <c r="J216" t="s">
        <v>2876</v>
      </c>
      <c r="K216">
        <v>1</v>
      </c>
    </row>
    <row r="217" spans="4:11" x14ac:dyDescent="0.25">
      <c r="D217" t="str">
        <f t="shared" si="8"/>
        <v>032373</v>
      </c>
      <c r="E217">
        <v>32373</v>
      </c>
      <c r="F217" t="s">
        <v>2253</v>
      </c>
      <c r="G217" t="s">
        <v>2877</v>
      </c>
      <c r="I217" t="s">
        <v>2879</v>
      </c>
      <c r="J217" t="s">
        <v>2878</v>
      </c>
      <c r="K217">
        <v>1</v>
      </c>
    </row>
    <row r="218" spans="4:11" x14ac:dyDescent="0.25">
      <c r="D218" t="str">
        <f t="shared" si="8"/>
        <v>034861</v>
      </c>
      <c r="E218">
        <v>34861</v>
      </c>
      <c r="F218" t="s">
        <v>2333</v>
      </c>
      <c r="G218" t="s">
        <v>2880</v>
      </c>
      <c r="I218" t="s">
        <v>2882</v>
      </c>
      <c r="J218" t="s">
        <v>2881</v>
      </c>
      <c r="K218">
        <v>1</v>
      </c>
    </row>
    <row r="219" spans="4:11" x14ac:dyDescent="0.25">
      <c r="D219" t="str">
        <f t="shared" si="8"/>
        <v>035050</v>
      </c>
      <c r="E219">
        <v>35050</v>
      </c>
      <c r="F219" t="s">
        <v>2343</v>
      </c>
      <c r="G219" t="s">
        <v>2883</v>
      </c>
      <c r="I219" t="s">
        <v>2885</v>
      </c>
      <c r="J219" t="s">
        <v>2884</v>
      </c>
      <c r="K219">
        <v>1</v>
      </c>
    </row>
  </sheetData>
  <hyperlinks>
    <hyperlink ref="I125" r:id="rId1" xr:uid="{AA2CD600-C661-4352-A09A-EF1BF0D6BAFB}"/>
    <hyperlink ref="I29" r:id="rId2" xr:uid="{BDE28C97-4F32-4EE6-BDF6-BA99F0CCE98A}"/>
    <hyperlink ref="I160" r:id="rId3" xr:uid="{C8FDF505-4888-444D-980D-AF4ECA11C3FD}"/>
    <hyperlink ref="I60" r:id="rId4" xr:uid="{269C5FC5-EAA3-4DF8-A0B6-4A5CF9DD1E9A}"/>
    <hyperlink ref="J7" r:id="rId5" display="info@almosvezer.hu" xr:uid="{C2C05960-A8C2-4A30-B479-CF76520071F5}"/>
    <hyperlink ref="I7" r:id="rId6" xr:uid="{8A06F45C-D1AA-451B-A9C9-00CFC62278A4}"/>
  </hyperlinks>
  <pageMargins left="0.7" right="0.7" top="0.75" bottom="0.75" header="0.3" footer="0.3"/>
  <pageSetup paperSize="9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10" name="Button 1">
              <controlPr defaultSize="0" print="0" autoFill="0" autoPict="0" macro="[0]!Szamolas_Darab_Es_Max">
                <anchor moveWithCells="1" sizeWithCells="1">
                  <from>
                    <xdr:col>6</xdr:col>
                    <xdr:colOff>9525</xdr:colOff>
                    <xdr:row>0</xdr:row>
                    <xdr:rowOff>38100</xdr:rowOff>
                  </from>
                  <to>
                    <xdr:col>7</xdr:col>
                    <xdr:colOff>28575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459DF-478D-44DD-9BC9-AD5EFCF72DED}">
  <sheetPr codeName="Munka19"/>
  <dimension ref="A1:E7"/>
  <sheetViews>
    <sheetView workbookViewId="0">
      <selection activeCell="B7" sqref="B7"/>
    </sheetView>
  </sheetViews>
  <sheetFormatPr defaultRowHeight="15" x14ac:dyDescent="0.25"/>
  <cols>
    <col min="1" max="2" width="13.42578125" customWidth="1"/>
  </cols>
  <sheetData>
    <row r="1" spans="1:5" x14ac:dyDescent="0.25">
      <c r="A1" t="s">
        <v>2805</v>
      </c>
      <c r="B1" t="s">
        <v>2806</v>
      </c>
      <c r="C1" t="s">
        <v>2807</v>
      </c>
      <c r="D1" t="s">
        <v>2808</v>
      </c>
      <c r="E1" t="s">
        <v>2809</v>
      </c>
    </row>
    <row r="2" spans="1:5" x14ac:dyDescent="0.25">
      <c r="A2" t="s">
        <v>2810</v>
      </c>
      <c r="B2" t="s">
        <v>693</v>
      </c>
      <c r="C2" t="s">
        <v>2811</v>
      </c>
      <c r="D2">
        <v>-1</v>
      </c>
      <c r="E2" t="s">
        <v>2812</v>
      </c>
    </row>
    <row r="3" spans="1:5" x14ac:dyDescent="0.25">
      <c r="A3" t="s">
        <v>2813</v>
      </c>
      <c r="B3" t="s">
        <v>694</v>
      </c>
      <c r="C3" t="s">
        <v>2811</v>
      </c>
      <c r="D3">
        <v>-1</v>
      </c>
      <c r="E3" t="s">
        <v>2812</v>
      </c>
    </row>
    <row r="4" spans="1:5" x14ac:dyDescent="0.25">
      <c r="A4" t="s">
        <v>1081</v>
      </c>
      <c r="B4" t="s">
        <v>697</v>
      </c>
      <c r="C4" t="s">
        <v>2811</v>
      </c>
      <c r="D4">
        <v>-1</v>
      </c>
      <c r="E4" t="s">
        <v>2812</v>
      </c>
    </row>
    <row r="5" spans="1:5" x14ac:dyDescent="0.25">
      <c r="A5" t="s">
        <v>2814</v>
      </c>
      <c r="B5" t="s">
        <v>691</v>
      </c>
      <c r="C5" t="s">
        <v>2815</v>
      </c>
      <c r="D5" t="s">
        <v>2816</v>
      </c>
      <c r="E5" t="s">
        <v>2812</v>
      </c>
    </row>
    <row r="6" spans="1:5" x14ac:dyDescent="0.25">
      <c r="A6" t="s">
        <v>2817</v>
      </c>
      <c r="B6" t="s">
        <v>686</v>
      </c>
      <c r="C6" t="s">
        <v>2815</v>
      </c>
      <c r="D6" t="s">
        <v>2816</v>
      </c>
      <c r="E6" t="s">
        <v>2812</v>
      </c>
    </row>
    <row r="7" spans="1:5" x14ac:dyDescent="0.25">
      <c r="A7" t="s">
        <v>2818</v>
      </c>
      <c r="B7" t="s">
        <v>685</v>
      </c>
      <c r="C7" t="s">
        <v>2815</v>
      </c>
      <c r="D7" t="s">
        <v>2816</v>
      </c>
      <c r="E7" t="s">
        <v>2812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C03D2-6FFD-4DD4-9775-D53E557B4D70}">
  <sheetPr codeName="Munka5"/>
  <dimension ref="A1:AQ252"/>
  <sheetViews>
    <sheetView topLeftCell="G187" zoomScaleNormal="100" workbookViewId="0">
      <selection activeCell="L1" sqref="L1"/>
    </sheetView>
  </sheetViews>
  <sheetFormatPr defaultRowHeight="15" x14ac:dyDescent="0.25"/>
  <cols>
    <col min="1" max="1" width="13.42578125" customWidth="1"/>
    <col min="3" max="3" width="10.140625" customWidth="1"/>
    <col min="4" max="4" width="18.5703125" bestFit="1" customWidth="1"/>
    <col min="5" max="5" width="8.42578125" bestFit="1" customWidth="1"/>
    <col min="6" max="6" width="9" bestFit="1" customWidth="1"/>
    <col min="7" max="7" width="12.140625" bestFit="1" customWidth="1"/>
    <col min="8" max="8" width="25.42578125" bestFit="1" customWidth="1"/>
    <col min="9" max="9" width="12.42578125" bestFit="1" customWidth="1"/>
    <col min="10" max="10" width="13.140625" bestFit="1" customWidth="1"/>
    <col min="11" max="11" width="31" bestFit="1" customWidth="1"/>
    <col min="12" max="12" width="13.5703125" customWidth="1"/>
    <col min="13" max="13" width="15" customWidth="1"/>
    <col min="14" max="14" width="34.42578125" bestFit="1" customWidth="1"/>
    <col min="15" max="15" width="12.42578125" bestFit="1" customWidth="1"/>
    <col min="16" max="16" width="26.42578125" bestFit="1" customWidth="1"/>
    <col min="17" max="17" width="67.5703125" customWidth="1"/>
    <col min="18" max="18" width="8.5703125" bestFit="1" customWidth="1"/>
    <col min="19" max="19" width="84.140625" bestFit="1" customWidth="1"/>
    <col min="20" max="20" width="15.42578125" bestFit="1" customWidth="1"/>
    <col min="21" max="21" width="11.5703125" bestFit="1" customWidth="1"/>
    <col min="22" max="22" width="10.85546875" bestFit="1" customWidth="1"/>
    <col min="23" max="23" width="11.5703125" bestFit="1" customWidth="1"/>
    <col min="24" max="24" width="10.85546875" bestFit="1" customWidth="1"/>
    <col min="25" max="26" width="11.42578125" bestFit="1" customWidth="1"/>
    <col min="27" max="27" width="11.5703125" customWidth="1"/>
    <col min="28" max="28" width="13.5703125" customWidth="1"/>
    <col min="29" max="29" width="13.85546875" customWidth="1"/>
    <col min="30" max="30" width="15" customWidth="1"/>
    <col min="31" max="31" width="16" customWidth="1"/>
    <col min="32" max="32" width="17" customWidth="1"/>
    <col min="33" max="33" width="17.42578125" customWidth="1"/>
    <col min="34" max="34" width="10.5703125" customWidth="1"/>
    <col min="35" max="35" width="17.42578125" customWidth="1"/>
    <col min="36" max="36" width="9.42578125" customWidth="1"/>
    <col min="37" max="37" width="13.5703125" customWidth="1"/>
    <col min="38" max="38" width="13.42578125" customWidth="1"/>
    <col min="39" max="39" width="12" customWidth="1"/>
    <col min="40" max="40" width="11.42578125" customWidth="1"/>
    <col min="41" max="41" width="9.42578125" customWidth="1"/>
    <col min="42" max="42" width="10.42578125" customWidth="1"/>
    <col min="43" max="43" width="15.140625" customWidth="1"/>
    <col min="44" max="44" width="10" customWidth="1"/>
    <col min="45" max="45" width="15.42578125" bestFit="1" customWidth="1"/>
    <col min="46" max="46" width="9.42578125" customWidth="1"/>
    <col min="48" max="48" width="13.140625" customWidth="1"/>
    <col min="49" max="49" width="18" customWidth="1"/>
    <col min="50" max="50" width="9.42578125" customWidth="1"/>
    <col min="51" max="51" width="9.5703125" customWidth="1"/>
    <col min="52" max="52" width="19.140625" customWidth="1"/>
  </cols>
  <sheetData>
    <row r="1" spans="1:43" x14ac:dyDescent="0.25">
      <c r="A1" t="s">
        <v>667</v>
      </c>
      <c r="B1" t="s">
        <v>668</v>
      </c>
      <c r="C1" t="s">
        <v>669</v>
      </c>
      <c r="D1" t="s">
        <v>670</v>
      </c>
      <c r="E1" t="s">
        <v>671</v>
      </c>
      <c r="F1" t="s">
        <v>672</v>
      </c>
      <c r="G1" t="s">
        <v>673</v>
      </c>
      <c r="H1" t="s">
        <v>674</v>
      </c>
      <c r="I1" t="s">
        <v>691</v>
      </c>
      <c r="J1" t="s">
        <v>675</v>
      </c>
      <c r="K1" t="s">
        <v>676</v>
      </c>
      <c r="L1" t="s">
        <v>677</v>
      </c>
      <c r="M1" t="s">
        <v>6</v>
      </c>
      <c r="N1" t="s">
        <v>678</v>
      </c>
      <c r="O1" t="s">
        <v>679</v>
      </c>
      <c r="P1" t="s">
        <v>680</v>
      </c>
      <c r="Q1" t="s">
        <v>681</v>
      </c>
      <c r="R1" t="s">
        <v>682</v>
      </c>
      <c r="S1" t="s">
        <v>3</v>
      </c>
      <c r="T1" t="s">
        <v>683</v>
      </c>
      <c r="U1" t="s">
        <v>684</v>
      </c>
      <c r="V1" t="s">
        <v>685</v>
      </c>
      <c r="W1" t="s">
        <v>686</v>
      </c>
      <c r="X1" t="s">
        <v>687</v>
      </c>
      <c r="Y1" t="s">
        <v>688</v>
      </c>
      <c r="Z1" t="s">
        <v>689</v>
      </c>
      <c r="AA1" t="s">
        <v>690</v>
      </c>
      <c r="AB1" t="s">
        <v>692</v>
      </c>
      <c r="AC1" t="s">
        <v>693</v>
      </c>
      <c r="AD1" t="s">
        <v>694</v>
      </c>
      <c r="AE1" t="s">
        <v>695</v>
      </c>
      <c r="AF1" t="s">
        <v>696</v>
      </c>
      <c r="AG1" t="s">
        <v>697</v>
      </c>
      <c r="AH1" t="s">
        <v>698</v>
      </c>
      <c r="AI1" t="s">
        <v>699</v>
      </c>
      <c r="AJ1" t="s">
        <v>700</v>
      </c>
      <c r="AK1" t="s">
        <v>701</v>
      </c>
      <c r="AL1" t="s">
        <v>702</v>
      </c>
      <c r="AM1" t="s">
        <v>703</v>
      </c>
      <c r="AN1" t="s">
        <v>704</v>
      </c>
      <c r="AO1" t="s">
        <v>705</v>
      </c>
      <c r="AP1" t="s">
        <v>706</v>
      </c>
      <c r="AQ1" t="s">
        <v>2669</v>
      </c>
    </row>
    <row r="2" spans="1:43" x14ac:dyDescent="0.25">
      <c r="B2">
        <v>9</v>
      </c>
      <c r="C2">
        <v>8</v>
      </c>
      <c r="D2" s="21">
        <v>46087.375</v>
      </c>
      <c r="E2" s="31">
        <v>57</v>
      </c>
      <c r="F2" t="s">
        <v>707</v>
      </c>
      <c r="G2">
        <v>73397704076</v>
      </c>
      <c r="H2" t="s">
        <v>1154</v>
      </c>
      <c r="I2" s="5">
        <v>44</v>
      </c>
      <c r="J2" t="s">
        <v>1102</v>
      </c>
      <c r="K2" s="18">
        <v>42327</v>
      </c>
      <c r="L2" t="s">
        <v>1155</v>
      </c>
      <c r="M2" t="s">
        <v>1156</v>
      </c>
      <c r="N2">
        <v>36202113653</v>
      </c>
      <c r="O2" t="s">
        <v>1157</v>
      </c>
      <c r="P2" t="s">
        <v>1155</v>
      </c>
      <c r="Q2" t="s">
        <v>1157</v>
      </c>
      <c r="R2" s="34" t="s">
        <v>1110</v>
      </c>
      <c r="S2" t="s">
        <v>327</v>
      </c>
      <c r="T2" t="s">
        <v>328</v>
      </c>
      <c r="U2" t="s">
        <v>329</v>
      </c>
      <c r="V2">
        <v>42</v>
      </c>
      <c r="W2">
        <v>37</v>
      </c>
      <c r="X2" s="5">
        <v>79</v>
      </c>
      <c r="Y2" s="5">
        <v>98.75</v>
      </c>
      <c r="Z2" s="33">
        <v>24.54</v>
      </c>
      <c r="AA2" s="5">
        <v>123.29</v>
      </c>
      <c r="AB2" s="9">
        <v>167.29</v>
      </c>
      <c r="AI2" t="s">
        <v>707</v>
      </c>
      <c r="AJ2" t="s">
        <v>707</v>
      </c>
      <c r="AK2" t="s">
        <v>707</v>
      </c>
      <c r="AL2" t="s">
        <v>707</v>
      </c>
      <c r="AO2" t="s">
        <v>2898</v>
      </c>
      <c r="AQ2" s="24">
        <v>46084.522893518515</v>
      </c>
    </row>
    <row r="3" spans="1:43" x14ac:dyDescent="0.25">
      <c r="C3">
        <v>1</v>
      </c>
      <c r="D3" s="21">
        <v>46085.604166666664</v>
      </c>
      <c r="E3" s="31">
        <v>49</v>
      </c>
      <c r="F3" t="s">
        <v>707</v>
      </c>
      <c r="G3">
        <v>73458204705</v>
      </c>
      <c r="H3" t="s">
        <v>1158</v>
      </c>
      <c r="I3" s="5">
        <v>50</v>
      </c>
      <c r="J3" t="s">
        <v>1100</v>
      </c>
      <c r="K3" s="18">
        <v>42356</v>
      </c>
      <c r="L3" t="s">
        <v>1159</v>
      </c>
      <c r="M3" t="s">
        <v>1160</v>
      </c>
      <c r="N3">
        <v>36303417811</v>
      </c>
      <c r="O3" t="s">
        <v>1161</v>
      </c>
      <c r="P3" t="s">
        <v>1159</v>
      </c>
      <c r="Q3" t="s">
        <v>1161</v>
      </c>
      <c r="R3" s="34"/>
      <c r="V3">
        <v>39</v>
      </c>
      <c r="W3">
        <v>36</v>
      </c>
      <c r="X3" s="5">
        <v>75</v>
      </c>
      <c r="Y3" s="5">
        <v>93.75</v>
      </c>
      <c r="Z3" s="33">
        <v>25</v>
      </c>
      <c r="AA3" s="5">
        <v>118.75</v>
      </c>
      <c r="AB3" s="9">
        <v>168.75</v>
      </c>
      <c r="AI3" t="s">
        <v>707</v>
      </c>
      <c r="AJ3" t="s">
        <v>707</v>
      </c>
      <c r="AK3" t="s">
        <v>707</v>
      </c>
      <c r="AL3" t="s">
        <v>707</v>
      </c>
      <c r="AO3" t="s">
        <v>2899</v>
      </c>
      <c r="AQ3" s="24">
        <v>46084.522916666669</v>
      </c>
    </row>
    <row r="4" spans="1:43" x14ac:dyDescent="0.25">
      <c r="C4">
        <v>1</v>
      </c>
      <c r="D4" s="21">
        <v>46085.604166666664</v>
      </c>
      <c r="E4">
        <v>173</v>
      </c>
      <c r="F4" t="s">
        <v>707</v>
      </c>
      <c r="G4">
        <v>73368662837</v>
      </c>
      <c r="H4" t="s">
        <v>1162</v>
      </c>
      <c r="I4" s="5">
        <v>39</v>
      </c>
      <c r="J4" t="s">
        <v>1096</v>
      </c>
      <c r="K4" s="18">
        <v>42309</v>
      </c>
      <c r="L4" t="s">
        <v>1163</v>
      </c>
      <c r="M4" t="s">
        <v>1164</v>
      </c>
      <c r="N4">
        <v>36305893237</v>
      </c>
      <c r="O4" t="s">
        <v>1165</v>
      </c>
      <c r="P4" t="s">
        <v>1166</v>
      </c>
      <c r="Q4" t="s">
        <v>1165</v>
      </c>
      <c r="R4" s="34" t="s">
        <v>2831</v>
      </c>
      <c r="S4" t="s">
        <v>1167</v>
      </c>
      <c r="T4" t="s">
        <v>163</v>
      </c>
      <c r="U4" t="s">
        <v>164</v>
      </c>
      <c r="V4">
        <v>32</v>
      </c>
      <c r="W4">
        <v>31</v>
      </c>
      <c r="X4" s="5">
        <v>63</v>
      </c>
      <c r="Y4" s="5">
        <v>78.75</v>
      </c>
      <c r="Z4" s="33">
        <v>24.55</v>
      </c>
      <c r="AA4" s="5">
        <v>103.3</v>
      </c>
      <c r="AB4" s="9">
        <v>142.30000000000001</v>
      </c>
      <c r="AI4" t="s">
        <v>707</v>
      </c>
      <c r="AJ4" t="s">
        <v>707</v>
      </c>
      <c r="AK4" t="s">
        <v>707</v>
      </c>
      <c r="AL4" t="s">
        <v>707</v>
      </c>
      <c r="AO4" t="s">
        <v>2900</v>
      </c>
      <c r="AQ4" s="24">
        <v>46084.522916666669</v>
      </c>
    </row>
    <row r="5" spans="1:43" x14ac:dyDescent="0.25">
      <c r="C5">
        <v>1</v>
      </c>
      <c r="D5" s="21">
        <v>46085.604166666664</v>
      </c>
      <c r="E5" s="31">
        <v>88</v>
      </c>
      <c r="F5" t="s">
        <v>707</v>
      </c>
      <c r="G5">
        <v>73408066413</v>
      </c>
      <c r="H5" t="s">
        <v>1168</v>
      </c>
      <c r="I5" s="5">
        <v>33</v>
      </c>
      <c r="J5" t="s">
        <v>1096</v>
      </c>
      <c r="K5" s="18">
        <v>42340</v>
      </c>
      <c r="L5" t="s">
        <v>1169</v>
      </c>
      <c r="M5" t="s">
        <v>1170</v>
      </c>
      <c r="N5">
        <v>36709316976</v>
      </c>
      <c r="O5" t="s">
        <v>1171</v>
      </c>
      <c r="P5" t="s">
        <v>1172</v>
      </c>
      <c r="Q5" t="s">
        <v>1173</v>
      </c>
      <c r="R5" s="34" t="s">
        <v>1111</v>
      </c>
      <c r="S5" t="s">
        <v>613</v>
      </c>
      <c r="T5" t="s">
        <v>614</v>
      </c>
      <c r="U5" t="s">
        <v>615</v>
      </c>
      <c r="V5">
        <v>41</v>
      </c>
      <c r="W5">
        <v>41</v>
      </c>
      <c r="X5" s="5">
        <v>82</v>
      </c>
      <c r="Y5" s="5">
        <v>102.5</v>
      </c>
      <c r="Z5" s="33">
        <v>25</v>
      </c>
      <c r="AA5" s="5">
        <v>127.5</v>
      </c>
      <c r="AB5" s="9">
        <v>160.5</v>
      </c>
      <c r="AI5" t="s">
        <v>707</v>
      </c>
      <c r="AJ5" t="s">
        <v>707</v>
      </c>
      <c r="AK5" t="s">
        <v>707</v>
      </c>
      <c r="AO5" t="s">
        <v>2901</v>
      </c>
      <c r="AQ5" s="24">
        <v>46084.522916666669</v>
      </c>
    </row>
    <row r="6" spans="1:43" x14ac:dyDescent="0.25">
      <c r="C6">
        <v>1</v>
      </c>
      <c r="D6" s="21">
        <v>46085.604166666664</v>
      </c>
      <c r="E6">
        <v>208</v>
      </c>
      <c r="F6" t="s">
        <v>707</v>
      </c>
      <c r="G6">
        <v>73403951239</v>
      </c>
      <c r="H6" t="s">
        <v>1174</v>
      </c>
      <c r="I6" s="5">
        <v>21</v>
      </c>
      <c r="J6" t="s">
        <v>1096</v>
      </c>
      <c r="K6" s="18">
        <v>42364</v>
      </c>
      <c r="L6" t="s">
        <v>1175</v>
      </c>
      <c r="M6" t="s">
        <v>1176</v>
      </c>
      <c r="N6">
        <v>36202891811</v>
      </c>
      <c r="O6" t="s">
        <v>1177</v>
      </c>
      <c r="P6" t="s">
        <v>1178</v>
      </c>
      <c r="Q6" t="s">
        <v>1177</v>
      </c>
      <c r="R6" s="34"/>
      <c r="V6">
        <v>38</v>
      </c>
      <c r="W6">
        <v>34</v>
      </c>
      <c r="X6" s="5">
        <v>72</v>
      </c>
      <c r="Y6" s="5">
        <v>90</v>
      </c>
      <c r="Z6" s="33">
        <v>22</v>
      </c>
      <c r="AA6" s="5">
        <v>112</v>
      </c>
      <c r="AB6" s="9">
        <v>133</v>
      </c>
      <c r="AI6" t="s">
        <v>707</v>
      </c>
      <c r="AJ6" t="s">
        <v>707</v>
      </c>
      <c r="AK6" t="s">
        <v>707</v>
      </c>
      <c r="AL6" t="s">
        <v>707</v>
      </c>
      <c r="AO6" t="s">
        <v>2902</v>
      </c>
      <c r="AQ6" s="24">
        <v>46084.522916666669</v>
      </c>
    </row>
    <row r="7" spans="1:43" x14ac:dyDescent="0.25">
      <c r="C7">
        <v>1</v>
      </c>
      <c r="D7" s="21">
        <v>46085.635416666664</v>
      </c>
      <c r="E7">
        <v>211</v>
      </c>
      <c r="F7" t="s">
        <v>707</v>
      </c>
      <c r="G7">
        <v>73450208118</v>
      </c>
      <c r="H7" t="s">
        <v>1179</v>
      </c>
      <c r="I7" s="5">
        <v>20</v>
      </c>
      <c r="J7" t="s">
        <v>1103</v>
      </c>
      <c r="K7" s="18">
        <v>42256</v>
      </c>
      <c r="L7" t="s">
        <v>1180</v>
      </c>
      <c r="M7" t="s">
        <v>1181</v>
      </c>
      <c r="N7">
        <v>36203808989</v>
      </c>
      <c r="O7" t="s">
        <v>1182</v>
      </c>
      <c r="P7" t="s">
        <v>1180</v>
      </c>
      <c r="Q7" t="s">
        <v>1182</v>
      </c>
      <c r="R7" s="34" t="s">
        <v>2367</v>
      </c>
      <c r="S7" t="s">
        <v>453</v>
      </c>
      <c r="T7" t="s">
        <v>454</v>
      </c>
      <c r="U7" t="s">
        <v>147</v>
      </c>
      <c r="V7">
        <v>39</v>
      </c>
      <c r="W7">
        <v>30</v>
      </c>
      <c r="X7" s="5">
        <v>69</v>
      </c>
      <c r="Y7" s="5">
        <v>86.25</v>
      </c>
      <c r="Z7" s="33">
        <v>24.09</v>
      </c>
      <c r="AA7" s="5">
        <v>110.34</v>
      </c>
      <c r="AB7" s="9">
        <v>130.34</v>
      </c>
      <c r="AI7" t="s">
        <v>707</v>
      </c>
      <c r="AJ7" t="s">
        <v>707</v>
      </c>
      <c r="AO7" t="s">
        <v>2903</v>
      </c>
      <c r="AQ7" s="24">
        <v>46084.522928240738</v>
      </c>
    </row>
    <row r="8" spans="1:43" x14ac:dyDescent="0.25">
      <c r="C8">
        <v>1</v>
      </c>
      <c r="D8" s="21">
        <v>46085.635416666664</v>
      </c>
      <c r="E8">
        <v>236</v>
      </c>
      <c r="F8" t="s">
        <v>707</v>
      </c>
      <c r="G8">
        <v>73396287451</v>
      </c>
      <c r="H8" t="s">
        <v>1183</v>
      </c>
      <c r="I8" s="5">
        <v>11</v>
      </c>
      <c r="J8" t="s">
        <v>1096</v>
      </c>
      <c r="K8" s="18">
        <v>42206</v>
      </c>
      <c r="L8" t="s">
        <v>1184</v>
      </c>
      <c r="M8" t="s">
        <v>1185</v>
      </c>
      <c r="N8">
        <v>36309640579</v>
      </c>
      <c r="O8" t="s">
        <v>1186</v>
      </c>
      <c r="P8" t="s">
        <v>1183</v>
      </c>
      <c r="Q8" t="s">
        <v>1186</v>
      </c>
      <c r="R8" s="34" t="s">
        <v>2368</v>
      </c>
      <c r="S8" t="s">
        <v>439</v>
      </c>
      <c r="T8" t="s">
        <v>440</v>
      </c>
      <c r="U8" t="s">
        <v>147</v>
      </c>
      <c r="V8">
        <v>34</v>
      </c>
      <c r="W8">
        <v>25</v>
      </c>
      <c r="X8" s="5">
        <v>59</v>
      </c>
      <c r="Y8" s="5">
        <v>73.75</v>
      </c>
      <c r="Z8" s="33">
        <v>23.63</v>
      </c>
      <c r="AA8" s="5">
        <v>97.38</v>
      </c>
      <c r="AB8" s="9">
        <v>108.38</v>
      </c>
      <c r="AI8" t="s">
        <v>707</v>
      </c>
      <c r="AJ8" t="s">
        <v>707</v>
      </c>
      <c r="AO8" t="s">
        <v>2904</v>
      </c>
      <c r="AQ8" s="24">
        <v>46084.522928240738</v>
      </c>
    </row>
    <row r="9" spans="1:43" x14ac:dyDescent="0.25">
      <c r="C9">
        <v>1</v>
      </c>
      <c r="D9" s="21">
        <v>46085.635416666664</v>
      </c>
      <c r="E9" s="31">
        <v>86</v>
      </c>
      <c r="F9" t="s">
        <v>707</v>
      </c>
      <c r="G9">
        <v>73388245475</v>
      </c>
      <c r="H9" t="s">
        <v>1187</v>
      </c>
      <c r="I9" s="5">
        <v>33</v>
      </c>
      <c r="J9" t="s">
        <v>1096</v>
      </c>
      <c r="K9" s="18">
        <v>42264</v>
      </c>
      <c r="L9" t="s">
        <v>1188</v>
      </c>
      <c r="M9" t="s">
        <v>1189</v>
      </c>
      <c r="N9">
        <v>36703204152</v>
      </c>
      <c r="O9" t="s">
        <v>1190</v>
      </c>
      <c r="P9" t="s">
        <v>1191</v>
      </c>
      <c r="Q9" t="s">
        <v>1190</v>
      </c>
      <c r="R9" s="34" t="s">
        <v>1117</v>
      </c>
      <c r="S9" t="s">
        <v>285</v>
      </c>
      <c r="T9" t="s">
        <v>286</v>
      </c>
      <c r="U9" t="s">
        <v>287</v>
      </c>
      <c r="V9">
        <v>38</v>
      </c>
      <c r="W9">
        <v>44</v>
      </c>
      <c r="X9" s="5">
        <v>82</v>
      </c>
      <c r="Y9" s="5">
        <v>102.5</v>
      </c>
      <c r="Z9" s="33">
        <v>25</v>
      </c>
      <c r="AA9" s="5">
        <v>127.5</v>
      </c>
      <c r="AB9" s="9">
        <v>160.5</v>
      </c>
      <c r="AD9" t="s">
        <v>707</v>
      </c>
      <c r="AI9" t="s">
        <v>707</v>
      </c>
      <c r="AK9" t="s">
        <v>707</v>
      </c>
      <c r="AO9" t="s">
        <v>2905</v>
      </c>
      <c r="AQ9" s="24">
        <v>46084.522928240738</v>
      </c>
    </row>
    <row r="10" spans="1:43" x14ac:dyDescent="0.25">
      <c r="B10">
        <v>10</v>
      </c>
      <c r="C10">
        <v>1</v>
      </c>
      <c r="D10" s="21">
        <v>46087.375</v>
      </c>
      <c r="E10" s="31">
        <v>65</v>
      </c>
      <c r="F10" t="s">
        <v>707</v>
      </c>
      <c r="G10">
        <v>73423065466</v>
      </c>
      <c r="H10" t="s">
        <v>1192</v>
      </c>
      <c r="I10" s="5">
        <v>37</v>
      </c>
      <c r="J10" t="s">
        <v>1101</v>
      </c>
      <c r="K10" s="18">
        <v>42433</v>
      </c>
      <c r="L10" t="s">
        <v>1193</v>
      </c>
      <c r="M10" t="s">
        <v>1194</v>
      </c>
      <c r="N10">
        <v>36206653332</v>
      </c>
      <c r="O10" t="s">
        <v>1195</v>
      </c>
      <c r="P10" t="s">
        <v>1196</v>
      </c>
      <c r="Q10" t="s">
        <v>1195</v>
      </c>
      <c r="R10" s="34"/>
      <c r="V10">
        <v>48</v>
      </c>
      <c r="W10">
        <v>35</v>
      </c>
      <c r="X10" s="5">
        <v>83</v>
      </c>
      <c r="Y10" s="5">
        <v>103.75</v>
      </c>
      <c r="Z10" s="33">
        <v>25</v>
      </c>
      <c r="AA10" s="5">
        <v>128.75</v>
      </c>
      <c r="AB10" s="9">
        <v>165.75</v>
      </c>
      <c r="AI10" t="s">
        <v>707</v>
      </c>
      <c r="AJ10" t="s">
        <v>707</v>
      </c>
      <c r="AO10" t="s">
        <v>2906</v>
      </c>
      <c r="AQ10" s="24">
        <v>46084.522939814815</v>
      </c>
    </row>
    <row r="11" spans="1:43" x14ac:dyDescent="0.25">
      <c r="B11">
        <v>11</v>
      </c>
      <c r="C11">
        <v>1</v>
      </c>
      <c r="D11" s="21">
        <v>46087.375</v>
      </c>
      <c r="E11" s="31">
        <v>10</v>
      </c>
      <c r="F11" t="s">
        <v>707</v>
      </c>
      <c r="G11">
        <v>73444954982</v>
      </c>
      <c r="H11" t="s">
        <v>1197</v>
      </c>
      <c r="I11" s="5">
        <v>43</v>
      </c>
      <c r="J11" t="s">
        <v>1100</v>
      </c>
      <c r="K11" s="18">
        <v>42408</v>
      </c>
      <c r="L11" t="s">
        <v>1198</v>
      </c>
      <c r="M11" t="s">
        <v>1199</v>
      </c>
      <c r="N11">
        <v>36704518705</v>
      </c>
      <c r="O11" t="s">
        <v>1200</v>
      </c>
      <c r="P11" t="s">
        <v>1198</v>
      </c>
      <c r="Q11" t="s">
        <v>1200</v>
      </c>
      <c r="R11" s="34" t="s">
        <v>1116</v>
      </c>
      <c r="S11" t="s">
        <v>639</v>
      </c>
      <c r="T11" t="s">
        <v>640</v>
      </c>
      <c r="U11" t="s">
        <v>641</v>
      </c>
      <c r="V11">
        <v>48</v>
      </c>
      <c r="W11">
        <v>42</v>
      </c>
      <c r="X11" s="5">
        <v>90</v>
      </c>
      <c r="Y11" s="5">
        <v>112.5</v>
      </c>
      <c r="Z11" s="33">
        <v>25</v>
      </c>
      <c r="AA11" s="5">
        <v>137.5</v>
      </c>
      <c r="AB11" s="9">
        <v>180.5</v>
      </c>
      <c r="AI11" t="s">
        <v>707</v>
      </c>
      <c r="AJ11" t="s">
        <v>707</v>
      </c>
      <c r="AO11" t="s">
        <v>2907</v>
      </c>
      <c r="AQ11" s="24">
        <v>46084.522939814815</v>
      </c>
    </row>
    <row r="12" spans="1:43" x14ac:dyDescent="0.25">
      <c r="B12">
        <v>12</v>
      </c>
      <c r="C12">
        <v>1</v>
      </c>
      <c r="D12" s="21">
        <v>46087.375</v>
      </c>
      <c r="E12" s="31">
        <v>73</v>
      </c>
      <c r="F12" t="s">
        <v>707</v>
      </c>
      <c r="G12">
        <v>73447278513</v>
      </c>
      <c r="H12" t="s">
        <v>1201</v>
      </c>
      <c r="I12" s="5">
        <v>39</v>
      </c>
      <c r="J12" t="s">
        <v>1099</v>
      </c>
      <c r="K12" s="18">
        <v>42542</v>
      </c>
      <c r="L12" t="s">
        <v>1202</v>
      </c>
      <c r="M12" t="s">
        <v>1203</v>
      </c>
      <c r="N12">
        <v>36304270616</v>
      </c>
      <c r="O12" t="s">
        <v>1204</v>
      </c>
      <c r="P12" t="s">
        <v>1202</v>
      </c>
      <c r="Q12" t="s">
        <v>1204</v>
      </c>
      <c r="R12" s="34" t="s">
        <v>2369</v>
      </c>
      <c r="S12" t="s">
        <v>152</v>
      </c>
      <c r="T12" t="s">
        <v>153</v>
      </c>
      <c r="U12" t="s">
        <v>154</v>
      </c>
      <c r="V12">
        <v>37</v>
      </c>
      <c r="W12">
        <v>43</v>
      </c>
      <c r="X12" s="5">
        <v>80</v>
      </c>
      <c r="Y12" s="5">
        <v>100</v>
      </c>
      <c r="Z12" s="33">
        <v>25</v>
      </c>
      <c r="AA12" s="5">
        <v>125</v>
      </c>
      <c r="AB12" s="9">
        <v>164</v>
      </c>
      <c r="AI12" t="s">
        <v>707</v>
      </c>
      <c r="AK12" t="s">
        <v>707</v>
      </c>
      <c r="AO12" t="s">
        <v>2908</v>
      </c>
      <c r="AQ12" s="24">
        <v>46084.522939814815</v>
      </c>
    </row>
    <row r="13" spans="1:43" x14ac:dyDescent="0.25">
      <c r="B13">
        <v>13</v>
      </c>
      <c r="C13">
        <v>1</v>
      </c>
      <c r="D13" s="21">
        <v>46087.375</v>
      </c>
      <c r="E13" s="31">
        <v>79</v>
      </c>
      <c r="F13" t="s">
        <v>707</v>
      </c>
      <c r="G13">
        <v>73439061486</v>
      </c>
      <c r="H13" t="s">
        <v>1205</v>
      </c>
      <c r="I13" s="5">
        <v>39</v>
      </c>
      <c r="J13" t="s">
        <v>1098</v>
      </c>
      <c r="K13" s="18">
        <v>42579</v>
      </c>
      <c r="L13" t="s">
        <v>1206</v>
      </c>
      <c r="M13" t="s">
        <v>1207</v>
      </c>
      <c r="N13">
        <v>36204370629</v>
      </c>
      <c r="O13" t="s">
        <v>1208</v>
      </c>
      <c r="P13" t="s">
        <v>1209</v>
      </c>
      <c r="Q13" t="s">
        <v>1208</v>
      </c>
      <c r="R13" s="34" t="s">
        <v>2370</v>
      </c>
      <c r="S13" t="s">
        <v>178</v>
      </c>
      <c r="T13" t="s">
        <v>179</v>
      </c>
      <c r="U13" t="s">
        <v>180</v>
      </c>
      <c r="V13">
        <v>44</v>
      </c>
      <c r="W13">
        <v>35</v>
      </c>
      <c r="X13" s="5">
        <v>79</v>
      </c>
      <c r="Y13" s="5">
        <v>98.75</v>
      </c>
      <c r="Z13" s="33">
        <v>25</v>
      </c>
      <c r="AA13" s="5">
        <v>123.75</v>
      </c>
      <c r="AB13" s="9">
        <v>162.75</v>
      </c>
      <c r="AI13" t="s">
        <v>707</v>
      </c>
      <c r="AJ13" t="s">
        <v>707</v>
      </c>
      <c r="AK13" t="s">
        <v>707</v>
      </c>
      <c r="AL13" t="s">
        <v>707</v>
      </c>
      <c r="AO13" t="s">
        <v>2909</v>
      </c>
      <c r="AQ13" s="24">
        <v>46084.522939814815</v>
      </c>
    </row>
    <row r="14" spans="1:43" x14ac:dyDescent="0.25">
      <c r="B14">
        <v>14</v>
      </c>
      <c r="C14">
        <v>2</v>
      </c>
      <c r="D14" s="21">
        <v>46087.375</v>
      </c>
      <c r="E14" s="31">
        <v>23</v>
      </c>
      <c r="F14" t="s">
        <v>707</v>
      </c>
      <c r="G14">
        <v>73414539651</v>
      </c>
      <c r="H14" t="s">
        <v>1210</v>
      </c>
      <c r="I14" s="5">
        <v>45</v>
      </c>
      <c r="J14" t="s">
        <v>1096</v>
      </c>
      <c r="K14" s="18">
        <v>42549</v>
      </c>
      <c r="L14" t="s">
        <v>1211</v>
      </c>
      <c r="M14" t="s">
        <v>1212</v>
      </c>
      <c r="N14">
        <v>36303715880</v>
      </c>
      <c r="O14" t="s">
        <v>1213</v>
      </c>
      <c r="P14" t="s">
        <v>1214</v>
      </c>
      <c r="Q14" t="s">
        <v>1213</v>
      </c>
      <c r="R14" s="34" t="s">
        <v>2371</v>
      </c>
      <c r="S14" t="s">
        <v>297</v>
      </c>
      <c r="T14" t="s">
        <v>298</v>
      </c>
      <c r="U14" t="s">
        <v>299</v>
      </c>
      <c r="V14">
        <v>39</v>
      </c>
      <c r="W14">
        <v>45</v>
      </c>
      <c r="X14" s="5">
        <v>84</v>
      </c>
      <c r="Y14" s="5">
        <v>105</v>
      </c>
      <c r="Z14" s="33">
        <v>25</v>
      </c>
      <c r="AA14" s="5">
        <v>130</v>
      </c>
      <c r="AB14" s="9">
        <v>175</v>
      </c>
      <c r="AI14" t="s">
        <v>707</v>
      </c>
      <c r="AO14" t="s">
        <v>2910</v>
      </c>
      <c r="AQ14" s="24">
        <v>46084.522951388892</v>
      </c>
    </row>
    <row r="15" spans="1:43" x14ac:dyDescent="0.25">
      <c r="B15">
        <v>15</v>
      </c>
      <c r="C15">
        <v>2</v>
      </c>
      <c r="D15" s="21">
        <v>46087.375</v>
      </c>
      <c r="E15">
        <v>221</v>
      </c>
      <c r="F15" t="s">
        <v>707</v>
      </c>
      <c r="G15">
        <v>73426435560</v>
      </c>
      <c r="H15" t="s">
        <v>1215</v>
      </c>
      <c r="I15" s="5">
        <v>31</v>
      </c>
      <c r="J15" t="s">
        <v>1216</v>
      </c>
      <c r="K15" s="18">
        <v>42342</v>
      </c>
      <c r="L15" t="s">
        <v>1217</v>
      </c>
      <c r="M15" t="s">
        <v>1218</v>
      </c>
      <c r="N15">
        <v>36306397728</v>
      </c>
      <c r="O15" t="s">
        <v>1219</v>
      </c>
      <c r="P15" t="s">
        <v>1215</v>
      </c>
      <c r="Q15" t="s">
        <v>1219</v>
      </c>
      <c r="R15" s="34"/>
      <c r="V15">
        <v>31</v>
      </c>
      <c r="W15">
        <v>25</v>
      </c>
      <c r="X15" s="5">
        <v>56</v>
      </c>
      <c r="Y15" s="5">
        <v>70</v>
      </c>
      <c r="Z15" s="33">
        <v>24.55</v>
      </c>
      <c r="AA15" s="5">
        <v>94.55</v>
      </c>
      <c r="AB15" s="9">
        <v>125.55</v>
      </c>
      <c r="AI15" t="s">
        <v>707</v>
      </c>
      <c r="AJ15" t="s">
        <v>707</v>
      </c>
      <c r="AK15" t="s">
        <v>707</v>
      </c>
      <c r="AL15" t="s">
        <v>707</v>
      </c>
      <c r="AO15" t="s">
        <v>2911</v>
      </c>
      <c r="AQ15" s="24">
        <v>46084.522951388892</v>
      </c>
    </row>
    <row r="16" spans="1:43" x14ac:dyDescent="0.25">
      <c r="B16">
        <v>16</v>
      </c>
      <c r="C16">
        <v>2</v>
      </c>
      <c r="D16" s="21">
        <v>46087.375</v>
      </c>
      <c r="E16">
        <v>233</v>
      </c>
      <c r="F16" t="s">
        <v>707</v>
      </c>
      <c r="G16">
        <v>73441792245</v>
      </c>
      <c r="H16" t="s">
        <v>1220</v>
      </c>
      <c r="I16" s="5">
        <v>16</v>
      </c>
      <c r="J16" t="s">
        <v>1098</v>
      </c>
      <c r="K16" s="18">
        <v>42446</v>
      </c>
      <c r="L16" t="s">
        <v>1221</v>
      </c>
      <c r="M16" s="3" t="s">
        <v>2415</v>
      </c>
      <c r="N16">
        <v>36304346828</v>
      </c>
      <c r="O16" t="s">
        <v>1222</v>
      </c>
      <c r="P16" t="s">
        <v>1221</v>
      </c>
      <c r="Q16" t="s">
        <v>1222</v>
      </c>
      <c r="R16" s="34" t="s">
        <v>2832</v>
      </c>
      <c r="S16" t="s">
        <v>1223</v>
      </c>
      <c r="T16" t="s">
        <v>2826</v>
      </c>
      <c r="U16" t="s">
        <v>2827</v>
      </c>
      <c r="V16">
        <v>35</v>
      </c>
      <c r="W16">
        <v>27</v>
      </c>
      <c r="X16" s="5">
        <v>62</v>
      </c>
      <c r="Y16" s="5">
        <v>77.5</v>
      </c>
      <c r="Z16" s="33">
        <v>22.27</v>
      </c>
      <c r="AA16" s="5">
        <v>99.77</v>
      </c>
      <c r="AB16" s="9">
        <v>115.77</v>
      </c>
      <c r="AI16" t="s">
        <v>707</v>
      </c>
      <c r="AJ16" t="s">
        <v>707</v>
      </c>
      <c r="AO16" t="s">
        <v>2912</v>
      </c>
      <c r="AQ16" s="24">
        <v>46084.522951388892</v>
      </c>
    </row>
    <row r="17" spans="2:43" x14ac:dyDescent="0.25">
      <c r="B17">
        <v>17</v>
      </c>
      <c r="C17">
        <v>2</v>
      </c>
      <c r="D17" s="21">
        <v>46087.375</v>
      </c>
      <c r="E17">
        <v>192</v>
      </c>
      <c r="F17" t="s">
        <v>707</v>
      </c>
      <c r="G17">
        <v>73403984187</v>
      </c>
      <c r="H17" t="s">
        <v>1224</v>
      </c>
      <c r="I17" s="5">
        <v>24</v>
      </c>
      <c r="J17" t="s">
        <v>1096</v>
      </c>
      <c r="K17" s="18">
        <v>42350</v>
      </c>
      <c r="L17" t="s">
        <v>1225</v>
      </c>
      <c r="M17" t="s">
        <v>1226</v>
      </c>
      <c r="N17">
        <v>36204825634</v>
      </c>
      <c r="O17" t="s">
        <v>1227</v>
      </c>
      <c r="P17" t="s">
        <v>1228</v>
      </c>
      <c r="Q17" t="s">
        <v>1229</v>
      </c>
      <c r="R17" s="34" t="s">
        <v>2372</v>
      </c>
      <c r="S17" t="s">
        <v>643</v>
      </c>
      <c r="T17" t="s">
        <v>644</v>
      </c>
      <c r="U17" t="s">
        <v>645</v>
      </c>
      <c r="V17">
        <v>37</v>
      </c>
      <c r="W17">
        <v>34</v>
      </c>
      <c r="X17" s="5">
        <v>71</v>
      </c>
      <c r="Y17" s="5">
        <v>88.75</v>
      </c>
      <c r="Z17" s="33">
        <v>24</v>
      </c>
      <c r="AA17" s="5">
        <v>112.75</v>
      </c>
      <c r="AB17" s="9">
        <v>136.75</v>
      </c>
      <c r="AI17" t="s">
        <v>707</v>
      </c>
      <c r="AJ17" t="s">
        <v>707</v>
      </c>
      <c r="AK17" t="s">
        <v>707</v>
      </c>
      <c r="AL17" t="s">
        <v>707</v>
      </c>
      <c r="AO17" t="s">
        <v>2913</v>
      </c>
      <c r="AQ17" s="24">
        <v>46084.522951388892</v>
      </c>
    </row>
    <row r="18" spans="2:43" x14ac:dyDescent="0.25">
      <c r="B18">
        <v>18</v>
      </c>
      <c r="C18">
        <v>7</v>
      </c>
      <c r="D18" s="21">
        <v>46087.375</v>
      </c>
      <c r="E18" s="31">
        <v>2</v>
      </c>
      <c r="F18" t="s">
        <v>707</v>
      </c>
      <c r="G18">
        <v>73382507642</v>
      </c>
      <c r="H18" t="s">
        <v>1230</v>
      </c>
      <c r="I18" s="5">
        <v>44</v>
      </c>
      <c r="J18" t="s">
        <v>1097</v>
      </c>
      <c r="K18" s="18">
        <v>42226</v>
      </c>
      <c r="L18" t="s">
        <v>1231</v>
      </c>
      <c r="M18" s="3" t="s">
        <v>2416</v>
      </c>
      <c r="N18">
        <v>36707737811</v>
      </c>
      <c r="O18" t="s">
        <v>1232</v>
      </c>
      <c r="P18" t="s">
        <v>1233</v>
      </c>
      <c r="Q18" t="s">
        <v>1232</v>
      </c>
      <c r="R18" s="34"/>
      <c r="V18">
        <v>47</v>
      </c>
      <c r="W18">
        <v>48</v>
      </c>
      <c r="X18" s="5">
        <v>95</v>
      </c>
      <c r="Y18" s="5">
        <v>118.75</v>
      </c>
      <c r="Z18" s="33">
        <v>25</v>
      </c>
      <c r="AA18" s="5">
        <v>143.75</v>
      </c>
      <c r="AB18" s="9">
        <v>187.75</v>
      </c>
      <c r="AE18" t="s">
        <v>707</v>
      </c>
      <c r="AH18" t="s">
        <v>1234</v>
      </c>
      <c r="AI18" t="s">
        <v>707</v>
      </c>
      <c r="AM18" t="s">
        <v>1235</v>
      </c>
      <c r="AN18" t="s">
        <v>2895</v>
      </c>
      <c r="AO18" t="s">
        <v>2914</v>
      </c>
      <c r="AQ18" s="24">
        <v>46084.522962962961</v>
      </c>
    </row>
    <row r="19" spans="2:43" x14ac:dyDescent="0.25">
      <c r="B19">
        <v>19</v>
      </c>
      <c r="C19">
        <v>3</v>
      </c>
      <c r="D19" s="21">
        <v>46087.375</v>
      </c>
      <c r="E19" s="31">
        <v>60</v>
      </c>
      <c r="F19" t="s">
        <v>707</v>
      </c>
      <c r="G19">
        <v>73356576262</v>
      </c>
      <c r="H19" t="s">
        <v>1236</v>
      </c>
      <c r="I19" s="5">
        <v>38</v>
      </c>
      <c r="J19" t="s">
        <v>1100</v>
      </c>
      <c r="K19" s="18">
        <v>42215</v>
      </c>
      <c r="L19" t="s">
        <v>1237</v>
      </c>
      <c r="M19" t="s">
        <v>1238</v>
      </c>
      <c r="N19">
        <v>36305126546</v>
      </c>
      <c r="O19" t="s">
        <v>1239</v>
      </c>
      <c r="P19" t="s">
        <v>1240</v>
      </c>
      <c r="Q19" t="s">
        <v>1239</v>
      </c>
      <c r="R19" s="34" t="s">
        <v>2833</v>
      </c>
      <c r="S19" t="s">
        <v>1241</v>
      </c>
      <c r="T19" t="s">
        <v>2829</v>
      </c>
      <c r="U19" t="s">
        <v>2830</v>
      </c>
      <c r="V19">
        <v>44</v>
      </c>
      <c r="W19">
        <v>39</v>
      </c>
      <c r="X19" s="5">
        <v>83</v>
      </c>
      <c r="Y19" s="5">
        <v>103.75</v>
      </c>
      <c r="Z19" s="33">
        <v>25</v>
      </c>
      <c r="AA19" s="5">
        <v>128.75</v>
      </c>
      <c r="AB19" s="9">
        <v>166.75</v>
      </c>
      <c r="AI19" t="s">
        <v>707</v>
      </c>
      <c r="AJ19" t="s">
        <v>707</v>
      </c>
      <c r="AK19" t="s">
        <v>707</v>
      </c>
      <c r="AL19" t="s">
        <v>707</v>
      </c>
      <c r="AO19" t="s">
        <v>2915</v>
      </c>
      <c r="AQ19" s="24">
        <v>46084.522986111115</v>
      </c>
    </row>
    <row r="20" spans="2:43" x14ac:dyDescent="0.25">
      <c r="B20">
        <v>20</v>
      </c>
      <c r="C20">
        <v>3</v>
      </c>
      <c r="D20" s="21">
        <v>46087.375</v>
      </c>
      <c r="E20">
        <v>95</v>
      </c>
      <c r="F20" t="s">
        <v>707</v>
      </c>
      <c r="G20">
        <v>73444449680</v>
      </c>
      <c r="H20" t="s">
        <v>1242</v>
      </c>
      <c r="I20" s="5">
        <v>49</v>
      </c>
      <c r="J20" t="s">
        <v>1243</v>
      </c>
      <c r="K20" s="18">
        <v>42386</v>
      </c>
      <c r="L20" t="s">
        <v>1244</v>
      </c>
      <c r="M20" t="s">
        <v>1245</v>
      </c>
      <c r="N20">
        <v>36703343358</v>
      </c>
      <c r="O20" t="s">
        <v>1246</v>
      </c>
      <c r="P20" t="s">
        <v>1247</v>
      </c>
      <c r="Q20" t="s">
        <v>1246</v>
      </c>
      <c r="R20" s="34"/>
      <c r="V20">
        <v>33</v>
      </c>
      <c r="W20">
        <v>35</v>
      </c>
      <c r="X20" s="5">
        <v>68</v>
      </c>
      <c r="Y20" s="5">
        <v>85</v>
      </c>
      <c r="Z20" s="33">
        <v>25</v>
      </c>
      <c r="AA20" s="5">
        <v>110</v>
      </c>
      <c r="AB20" s="9">
        <v>159</v>
      </c>
      <c r="AL20" t="s">
        <v>707</v>
      </c>
      <c r="AO20" t="s">
        <v>2916</v>
      </c>
      <c r="AQ20" s="24">
        <v>46084.522986111115</v>
      </c>
    </row>
    <row r="21" spans="2:43" x14ac:dyDescent="0.25">
      <c r="B21">
        <v>21</v>
      </c>
      <c r="C21">
        <v>3</v>
      </c>
      <c r="D21" s="21">
        <v>46087.375</v>
      </c>
      <c r="E21">
        <v>165</v>
      </c>
      <c r="F21" t="s">
        <v>707</v>
      </c>
      <c r="G21">
        <v>73440347726</v>
      </c>
      <c r="H21" t="s">
        <v>1248</v>
      </c>
      <c r="I21" s="5">
        <v>33</v>
      </c>
      <c r="J21" t="s">
        <v>1096</v>
      </c>
      <c r="K21" s="18">
        <v>42332</v>
      </c>
      <c r="L21" t="s">
        <v>1249</v>
      </c>
      <c r="M21" t="s">
        <v>1250</v>
      </c>
      <c r="N21">
        <v>36209323203</v>
      </c>
      <c r="O21" t="s">
        <v>1251</v>
      </c>
      <c r="P21" t="s">
        <v>1252</v>
      </c>
      <c r="Q21" t="s">
        <v>1251</v>
      </c>
      <c r="R21" s="34" t="s">
        <v>2373</v>
      </c>
      <c r="S21" t="s">
        <v>482</v>
      </c>
      <c r="T21" t="s">
        <v>483</v>
      </c>
      <c r="U21" t="s">
        <v>484</v>
      </c>
      <c r="V21">
        <v>38</v>
      </c>
      <c r="W21">
        <v>33</v>
      </c>
      <c r="X21" s="5">
        <v>71</v>
      </c>
      <c r="Y21" s="5">
        <v>88.75</v>
      </c>
      <c r="Z21" s="33">
        <v>23.64</v>
      </c>
      <c r="AA21" s="5">
        <v>112.39</v>
      </c>
      <c r="AB21" s="9">
        <v>145.38999999999999</v>
      </c>
      <c r="AI21" t="s">
        <v>707</v>
      </c>
      <c r="AJ21" t="s">
        <v>707</v>
      </c>
      <c r="AO21" t="s">
        <v>2917</v>
      </c>
      <c r="AQ21" s="24">
        <v>46084.522986111115</v>
      </c>
    </row>
    <row r="22" spans="2:43" x14ac:dyDescent="0.25">
      <c r="B22">
        <v>22</v>
      </c>
      <c r="C22">
        <v>3</v>
      </c>
      <c r="D22" s="21">
        <v>46087.375</v>
      </c>
      <c r="E22">
        <v>145</v>
      </c>
      <c r="F22" t="s">
        <v>707</v>
      </c>
      <c r="G22">
        <v>73412770018</v>
      </c>
      <c r="H22" t="s">
        <v>1253</v>
      </c>
      <c r="I22" s="5">
        <v>43</v>
      </c>
      <c r="J22" t="s">
        <v>1100</v>
      </c>
      <c r="K22" s="18">
        <v>42310</v>
      </c>
      <c r="L22" t="s">
        <v>1254</v>
      </c>
      <c r="M22" t="s">
        <v>1255</v>
      </c>
      <c r="N22">
        <v>36707775795</v>
      </c>
      <c r="O22" t="s">
        <v>1256</v>
      </c>
      <c r="P22" t="s">
        <v>1254</v>
      </c>
      <c r="Q22" t="s">
        <v>1256</v>
      </c>
      <c r="R22" s="34" t="s">
        <v>1113</v>
      </c>
      <c r="S22" t="s">
        <v>350</v>
      </c>
      <c r="T22" t="s">
        <v>351</v>
      </c>
      <c r="U22" t="s">
        <v>352</v>
      </c>
      <c r="V22">
        <v>33</v>
      </c>
      <c r="W22">
        <v>32</v>
      </c>
      <c r="X22" s="5">
        <v>65</v>
      </c>
      <c r="Y22" s="5">
        <v>81.25</v>
      </c>
      <c r="Z22" s="33">
        <v>24.54</v>
      </c>
      <c r="AA22" s="5">
        <v>105.79</v>
      </c>
      <c r="AB22" s="9">
        <v>148.79</v>
      </c>
      <c r="AL22" t="s">
        <v>707</v>
      </c>
      <c r="AO22" t="s">
        <v>2918</v>
      </c>
      <c r="AQ22" s="24">
        <v>46084.522986111115</v>
      </c>
    </row>
    <row r="23" spans="2:43" x14ac:dyDescent="0.25">
      <c r="B23">
        <v>23</v>
      </c>
      <c r="C23">
        <v>4</v>
      </c>
      <c r="D23" s="21">
        <v>46087.375</v>
      </c>
      <c r="E23">
        <v>118</v>
      </c>
      <c r="F23" t="s">
        <v>707</v>
      </c>
      <c r="G23">
        <v>73415572955</v>
      </c>
      <c r="H23" t="s">
        <v>1257</v>
      </c>
      <c r="I23" s="5">
        <v>30</v>
      </c>
      <c r="J23" t="s">
        <v>1101</v>
      </c>
      <c r="K23" s="18">
        <v>42334</v>
      </c>
      <c r="L23" t="s">
        <v>1258</v>
      </c>
      <c r="M23" t="s">
        <v>1259</v>
      </c>
      <c r="N23">
        <v>36209122262</v>
      </c>
      <c r="O23" t="s">
        <v>1260</v>
      </c>
      <c r="P23" t="s">
        <v>1261</v>
      </c>
      <c r="Q23" t="s">
        <v>1260</v>
      </c>
      <c r="R23" s="34" t="s">
        <v>2374</v>
      </c>
      <c r="S23" t="s">
        <v>137</v>
      </c>
      <c r="T23" t="s">
        <v>138</v>
      </c>
      <c r="U23" t="s">
        <v>139</v>
      </c>
      <c r="V23">
        <v>43</v>
      </c>
      <c r="W23">
        <v>37</v>
      </c>
      <c r="X23" s="5">
        <v>80</v>
      </c>
      <c r="Y23" s="5">
        <v>100</v>
      </c>
      <c r="Z23" s="33">
        <v>24.54</v>
      </c>
      <c r="AA23" s="5">
        <v>124.54</v>
      </c>
      <c r="AB23" s="9">
        <v>154.54</v>
      </c>
      <c r="AI23" t="s">
        <v>707</v>
      </c>
      <c r="AJ23" t="s">
        <v>707</v>
      </c>
      <c r="AK23" t="s">
        <v>707</v>
      </c>
      <c r="AL23" t="s">
        <v>707</v>
      </c>
      <c r="AO23" t="s">
        <v>2919</v>
      </c>
      <c r="AQ23" s="24">
        <v>46084.522997685184</v>
      </c>
    </row>
    <row r="24" spans="2:43" x14ac:dyDescent="0.25">
      <c r="B24">
        <v>24</v>
      </c>
      <c r="C24">
        <v>4</v>
      </c>
      <c r="D24" s="21">
        <v>46087.375</v>
      </c>
      <c r="E24">
        <v>237</v>
      </c>
      <c r="F24" t="s">
        <v>707</v>
      </c>
      <c r="G24">
        <v>73367126561</v>
      </c>
      <c r="H24" t="s">
        <v>1262</v>
      </c>
      <c r="I24" s="5">
        <v>9</v>
      </c>
      <c r="J24" t="s">
        <v>1097</v>
      </c>
      <c r="K24" s="18">
        <v>42297</v>
      </c>
      <c r="L24" t="s">
        <v>1263</v>
      </c>
      <c r="M24" t="s">
        <v>1264</v>
      </c>
      <c r="N24">
        <v>36304811938</v>
      </c>
      <c r="O24" t="s">
        <v>1265</v>
      </c>
      <c r="P24" t="s">
        <v>1266</v>
      </c>
      <c r="Q24" t="s">
        <v>1265</v>
      </c>
      <c r="R24" s="34" t="s">
        <v>2375</v>
      </c>
      <c r="S24" t="s">
        <v>604</v>
      </c>
      <c r="T24" t="s">
        <v>605</v>
      </c>
      <c r="U24" t="s">
        <v>606</v>
      </c>
      <c r="V24">
        <v>32</v>
      </c>
      <c r="W24">
        <v>28</v>
      </c>
      <c r="X24" s="5">
        <v>60</v>
      </c>
      <c r="Y24" s="5">
        <v>75</v>
      </c>
      <c r="Z24" s="33">
        <v>23.63</v>
      </c>
      <c r="AA24" s="5">
        <v>98.63</v>
      </c>
      <c r="AB24" s="9">
        <v>107.63</v>
      </c>
      <c r="AI24" t="s">
        <v>707</v>
      </c>
      <c r="AJ24" t="s">
        <v>707</v>
      </c>
      <c r="AL24" t="s">
        <v>707</v>
      </c>
      <c r="AO24" t="s">
        <v>2920</v>
      </c>
      <c r="AQ24" s="24">
        <v>46084.522997685184</v>
      </c>
    </row>
    <row r="25" spans="2:43" x14ac:dyDescent="0.25">
      <c r="B25">
        <v>25</v>
      </c>
      <c r="C25">
        <v>4</v>
      </c>
      <c r="D25" s="21">
        <v>46087.375</v>
      </c>
      <c r="E25">
        <v>202</v>
      </c>
      <c r="F25" t="s">
        <v>707</v>
      </c>
      <c r="G25">
        <v>73355303340</v>
      </c>
      <c r="H25" t="s">
        <v>1267</v>
      </c>
      <c r="I25" s="5">
        <v>11</v>
      </c>
      <c r="J25" t="s">
        <v>1098</v>
      </c>
      <c r="K25" s="18">
        <v>42068</v>
      </c>
      <c r="L25" t="s">
        <v>1268</v>
      </c>
      <c r="M25" t="s">
        <v>1269</v>
      </c>
      <c r="N25">
        <v>36209849513</v>
      </c>
      <c r="O25" t="s">
        <v>1270</v>
      </c>
      <c r="P25" t="s">
        <v>1268</v>
      </c>
      <c r="Q25" t="s">
        <v>1270</v>
      </c>
      <c r="R25" s="34" t="s">
        <v>2376</v>
      </c>
      <c r="S25" t="s">
        <v>470</v>
      </c>
      <c r="T25" t="s">
        <v>471</v>
      </c>
      <c r="U25" t="s">
        <v>472</v>
      </c>
      <c r="V25">
        <v>43</v>
      </c>
      <c r="W25">
        <v>36</v>
      </c>
      <c r="X25" s="5">
        <v>79</v>
      </c>
      <c r="Y25" s="5">
        <v>98.75</v>
      </c>
      <c r="Z25" s="33">
        <v>25</v>
      </c>
      <c r="AA25" s="5">
        <v>123.75</v>
      </c>
      <c r="AB25" s="9">
        <v>134.75</v>
      </c>
      <c r="AD25" t="s">
        <v>707</v>
      </c>
      <c r="AI25" t="s">
        <v>707</v>
      </c>
      <c r="AJ25" t="s">
        <v>707</v>
      </c>
      <c r="AL25" t="s">
        <v>707</v>
      </c>
      <c r="AO25" t="s">
        <v>2921</v>
      </c>
      <c r="AQ25" s="24">
        <v>46084.522997685184</v>
      </c>
    </row>
    <row r="26" spans="2:43" x14ac:dyDescent="0.25">
      <c r="B26">
        <v>26</v>
      </c>
      <c r="C26">
        <v>4</v>
      </c>
      <c r="D26" s="21">
        <v>46087.375</v>
      </c>
      <c r="E26">
        <v>167</v>
      </c>
      <c r="F26" t="s">
        <v>707</v>
      </c>
      <c r="G26">
        <v>73433430250</v>
      </c>
      <c r="H26" t="s">
        <v>1271</v>
      </c>
      <c r="I26" s="5">
        <v>44</v>
      </c>
      <c r="J26" t="s">
        <v>1098</v>
      </c>
      <c r="K26" s="18">
        <v>42526</v>
      </c>
      <c r="L26" t="s">
        <v>1272</v>
      </c>
      <c r="M26" t="s">
        <v>1273</v>
      </c>
      <c r="N26">
        <v>36703649611</v>
      </c>
      <c r="O26" t="s">
        <v>1274</v>
      </c>
      <c r="P26" t="s">
        <v>1275</v>
      </c>
      <c r="Q26" t="s">
        <v>1274</v>
      </c>
      <c r="R26" s="34"/>
      <c r="V26">
        <v>34</v>
      </c>
      <c r="W26">
        <v>27</v>
      </c>
      <c r="X26" s="5">
        <v>61</v>
      </c>
      <c r="Y26" s="5">
        <v>76.25</v>
      </c>
      <c r="Z26" s="33">
        <v>25</v>
      </c>
      <c r="AA26" s="5">
        <v>101.25</v>
      </c>
      <c r="AB26" s="9">
        <v>145.25</v>
      </c>
      <c r="AD26" t="s">
        <v>707</v>
      </c>
      <c r="AI26" t="s">
        <v>707</v>
      </c>
      <c r="AJ26" t="s">
        <v>707</v>
      </c>
      <c r="AO26" t="s">
        <v>2922</v>
      </c>
      <c r="AQ26" s="24">
        <v>46084.522997685184</v>
      </c>
    </row>
    <row r="27" spans="2:43" x14ac:dyDescent="0.25">
      <c r="B27">
        <v>27</v>
      </c>
      <c r="C27">
        <v>5</v>
      </c>
      <c r="D27" s="21">
        <v>46087.375</v>
      </c>
      <c r="E27" s="31">
        <v>62</v>
      </c>
      <c r="F27" t="s">
        <v>707</v>
      </c>
      <c r="G27">
        <v>73397901825</v>
      </c>
      <c r="H27" t="s">
        <v>1276</v>
      </c>
      <c r="I27" s="5">
        <v>46</v>
      </c>
      <c r="J27" t="s">
        <v>1096</v>
      </c>
      <c r="K27" s="18">
        <v>42332</v>
      </c>
      <c r="L27" t="s">
        <v>1277</v>
      </c>
      <c r="M27" t="s">
        <v>1278</v>
      </c>
      <c r="N27">
        <v>36208034632</v>
      </c>
      <c r="O27" t="s">
        <v>1279</v>
      </c>
      <c r="P27" t="s">
        <v>1280</v>
      </c>
      <c r="Q27" t="s">
        <v>1281</v>
      </c>
      <c r="R27" s="34" t="s">
        <v>2377</v>
      </c>
      <c r="S27" t="s">
        <v>621</v>
      </c>
      <c r="T27" t="s">
        <v>622</v>
      </c>
      <c r="U27" t="s">
        <v>623</v>
      </c>
      <c r="V27">
        <v>42</v>
      </c>
      <c r="W27">
        <v>36</v>
      </c>
      <c r="X27" s="5">
        <v>78</v>
      </c>
      <c r="Y27" s="5">
        <v>97.5</v>
      </c>
      <c r="Z27" s="33">
        <v>23.18</v>
      </c>
      <c r="AA27" s="5">
        <v>120.68</v>
      </c>
      <c r="AB27" s="9">
        <v>166.68</v>
      </c>
      <c r="AI27" t="s">
        <v>707</v>
      </c>
      <c r="AJ27" t="s">
        <v>707</v>
      </c>
      <c r="AK27" t="s">
        <v>707</v>
      </c>
      <c r="AL27" t="s">
        <v>707</v>
      </c>
      <c r="AO27" t="s">
        <v>2923</v>
      </c>
      <c r="AQ27" s="24">
        <v>46084.523009259261</v>
      </c>
    </row>
    <row r="28" spans="2:43" x14ac:dyDescent="0.25">
      <c r="B28">
        <v>28</v>
      </c>
      <c r="C28">
        <v>5</v>
      </c>
      <c r="D28" s="21">
        <v>46087.375</v>
      </c>
      <c r="E28" s="31">
        <v>69</v>
      </c>
      <c r="F28" t="s">
        <v>707</v>
      </c>
      <c r="G28">
        <v>73454482508</v>
      </c>
      <c r="H28" t="s">
        <v>1282</v>
      </c>
      <c r="I28" s="5">
        <v>40</v>
      </c>
      <c r="J28" t="s">
        <v>1098</v>
      </c>
      <c r="K28" s="18">
        <v>42427</v>
      </c>
      <c r="L28" t="s">
        <v>1283</v>
      </c>
      <c r="M28" t="s">
        <v>1284</v>
      </c>
      <c r="N28">
        <v>36704080217</v>
      </c>
      <c r="O28" t="s">
        <v>1285</v>
      </c>
      <c r="P28" t="s">
        <v>1286</v>
      </c>
      <c r="Q28" t="s">
        <v>1285</v>
      </c>
      <c r="R28" s="34" t="s">
        <v>2834</v>
      </c>
      <c r="S28" t="s">
        <v>1287</v>
      </c>
      <c r="T28" t="s">
        <v>193</v>
      </c>
      <c r="U28" t="s">
        <v>194</v>
      </c>
      <c r="V28">
        <v>37</v>
      </c>
      <c r="W28">
        <v>43</v>
      </c>
      <c r="X28" s="5">
        <v>80</v>
      </c>
      <c r="Y28" s="5">
        <v>100</v>
      </c>
      <c r="Z28" s="33">
        <v>25</v>
      </c>
      <c r="AA28" s="5">
        <v>125</v>
      </c>
      <c r="AB28" s="9">
        <v>165</v>
      </c>
      <c r="AI28" t="s">
        <v>707</v>
      </c>
      <c r="AJ28" t="s">
        <v>707</v>
      </c>
      <c r="AK28" t="s">
        <v>707</v>
      </c>
      <c r="AL28" t="s">
        <v>707</v>
      </c>
      <c r="AO28" t="s">
        <v>2924</v>
      </c>
      <c r="AQ28" s="24">
        <v>46084.523009259261</v>
      </c>
    </row>
    <row r="29" spans="2:43" x14ac:dyDescent="0.25">
      <c r="B29">
        <v>29</v>
      </c>
      <c r="C29">
        <v>5</v>
      </c>
      <c r="D29" s="21">
        <v>46087.375</v>
      </c>
      <c r="E29" s="31">
        <v>76</v>
      </c>
      <c r="F29" t="s">
        <v>707</v>
      </c>
      <c r="G29">
        <v>73372898612</v>
      </c>
      <c r="H29" t="s">
        <v>1288</v>
      </c>
      <c r="I29" s="5">
        <v>37</v>
      </c>
      <c r="J29" t="s">
        <v>1098</v>
      </c>
      <c r="K29" s="18">
        <v>42072</v>
      </c>
      <c r="L29" t="s">
        <v>1289</v>
      </c>
      <c r="M29" t="s">
        <v>1290</v>
      </c>
      <c r="N29">
        <v>36704171139</v>
      </c>
      <c r="O29" t="s">
        <v>1291</v>
      </c>
      <c r="P29" t="s">
        <v>1292</v>
      </c>
      <c r="Q29" t="s">
        <v>1291</v>
      </c>
      <c r="R29" s="34" t="s">
        <v>2378</v>
      </c>
      <c r="S29" t="s">
        <v>617</v>
      </c>
      <c r="T29" t="s">
        <v>618</v>
      </c>
      <c r="U29" t="s">
        <v>619</v>
      </c>
      <c r="V29">
        <v>40</v>
      </c>
      <c r="W29">
        <v>41</v>
      </c>
      <c r="X29" s="5">
        <v>81</v>
      </c>
      <c r="Y29" s="5">
        <v>101.25</v>
      </c>
      <c r="Z29" s="33">
        <v>25</v>
      </c>
      <c r="AA29" s="5">
        <v>126.25</v>
      </c>
      <c r="AB29" s="9">
        <v>163.25</v>
      </c>
      <c r="AI29" t="s">
        <v>707</v>
      </c>
      <c r="AJ29" t="s">
        <v>707</v>
      </c>
      <c r="AK29" t="s">
        <v>707</v>
      </c>
      <c r="AL29" t="s">
        <v>707</v>
      </c>
      <c r="AO29" t="s">
        <v>2925</v>
      </c>
      <c r="AQ29" s="24">
        <v>46084.523009259261</v>
      </c>
    </row>
    <row r="30" spans="2:43" x14ac:dyDescent="0.25">
      <c r="B30">
        <v>30</v>
      </c>
      <c r="C30">
        <v>5</v>
      </c>
      <c r="D30" s="21">
        <v>46087.375</v>
      </c>
      <c r="E30">
        <v>180</v>
      </c>
      <c r="F30" t="s">
        <v>707</v>
      </c>
      <c r="G30">
        <v>73422586333</v>
      </c>
      <c r="H30" t="s">
        <v>1293</v>
      </c>
      <c r="I30" s="5">
        <v>44</v>
      </c>
      <c r="J30" t="s">
        <v>1098</v>
      </c>
      <c r="K30" s="18">
        <v>42318</v>
      </c>
      <c r="L30" t="s">
        <v>1294</v>
      </c>
      <c r="M30" t="s">
        <v>2417</v>
      </c>
      <c r="N30">
        <v>36703399085</v>
      </c>
      <c r="O30" t="s">
        <v>1295</v>
      </c>
      <c r="P30" t="s">
        <v>1296</v>
      </c>
      <c r="Q30" t="s">
        <v>1295</v>
      </c>
      <c r="R30" s="34" t="s">
        <v>2379</v>
      </c>
      <c r="S30" t="s">
        <v>196</v>
      </c>
      <c r="T30" t="s">
        <v>197</v>
      </c>
      <c r="U30" t="s">
        <v>198</v>
      </c>
      <c r="V30">
        <v>28</v>
      </c>
      <c r="W30">
        <v>29</v>
      </c>
      <c r="X30" s="5">
        <v>57</v>
      </c>
      <c r="Y30" s="5">
        <v>71.25</v>
      </c>
      <c r="Z30" s="33">
        <v>25</v>
      </c>
      <c r="AA30" s="5">
        <v>96.25</v>
      </c>
      <c r="AB30" s="9">
        <v>140.25</v>
      </c>
      <c r="AL30" t="s">
        <v>707</v>
      </c>
      <c r="AO30" t="s">
        <v>2926</v>
      </c>
      <c r="AQ30" s="24">
        <v>46084.523009259261</v>
      </c>
    </row>
    <row r="31" spans="2:43" x14ac:dyDescent="0.25">
      <c r="B31">
        <v>31</v>
      </c>
      <c r="C31">
        <v>6</v>
      </c>
      <c r="D31" s="21">
        <v>46087.375</v>
      </c>
      <c r="E31">
        <v>127</v>
      </c>
      <c r="F31" t="s">
        <v>707</v>
      </c>
      <c r="G31">
        <v>73456722309</v>
      </c>
      <c r="H31" t="s">
        <v>1297</v>
      </c>
      <c r="I31" s="5">
        <v>33</v>
      </c>
      <c r="J31" t="s">
        <v>1096</v>
      </c>
      <c r="K31" s="18">
        <v>42528</v>
      </c>
      <c r="L31" t="s">
        <v>1298</v>
      </c>
      <c r="M31" t="s">
        <v>1299</v>
      </c>
      <c r="N31">
        <v>36303484114</v>
      </c>
      <c r="O31" t="s">
        <v>1300</v>
      </c>
      <c r="P31" t="s">
        <v>1301</v>
      </c>
      <c r="Q31" t="s">
        <v>1300</v>
      </c>
      <c r="R31" s="34" t="s">
        <v>2380</v>
      </c>
      <c r="S31" t="s">
        <v>148</v>
      </c>
      <c r="T31" t="s">
        <v>149</v>
      </c>
      <c r="U31" t="s">
        <v>150</v>
      </c>
      <c r="V31">
        <v>36</v>
      </c>
      <c r="W31">
        <v>40</v>
      </c>
      <c r="X31" s="5">
        <v>76</v>
      </c>
      <c r="Y31" s="5">
        <v>95</v>
      </c>
      <c r="Z31" s="33">
        <v>25</v>
      </c>
      <c r="AA31" s="5">
        <v>120</v>
      </c>
      <c r="AB31" s="9">
        <v>153</v>
      </c>
      <c r="AK31" t="s">
        <v>707</v>
      </c>
      <c r="AO31" t="s">
        <v>2927</v>
      </c>
      <c r="AQ31" s="24">
        <v>46084.523020833331</v>
      </c>
    </row>
    <row r="32" spans="2:43" x14ac:dyDescent="0.25">
      <c r="B32">
        <v>32</v>
      </c>
      <c r="C32">
        <v>6</v>
      </c>
      <c r="D32" s="21">
        <v>46087.375</v>
      </c>
      <c r="E32" s="31">
        <v>48</v>
      </c>
      <c r="F32" t="s">
        <v>707</v>
      </c>
      <c r="G32">
        <v>73379507776</v>
      </c>
      <c r="H32" t="s">
        <v>1302</v>
      </c>
      <c r="I32" s="5">
        <v>43</v>
      </c>
      <c r="J32" t="s">
        <v>1100</v>
      </c>
      <c r="K32" s="18">
        <v>42278</v>
      </c>
      <c r="L32" t="s">
        <v>1303</v>
      </c>
      <c r="M32" t="s">
        <v>1304</v>
      </c>
      <c r="N32">
        <v>36703424204</v>
      </c>
      <c r="O32" t="s">
        <v>1305</v>
      </c>
      <c r="P32" t="s">
        <v>1306</v>
      </c>
      <c r="Q32" t="s">
        <v>1305</v>
      </c>
      <c r="R32" s="34" t="s">
        <v>2368</v>
      </c>
      <c r="S32" t="s">
        <v>439</v>
      </c>
      <c r="T32" t="s">
        <v>440</v>
      </c>
      <c r="U32" t="s">
        <v>147</v>
      </c>
      <c r="V32">
        <v>42</v>
      </c>
      <c r="W32">
        <v>39</v>
      </c>
      <c r="X32" s="5">
        <v>81</v>
      </c>
      <c r="Y32" s="5">
        <v>101.25</v>
      </c>
      <c r="Z32" s="33">
        <v>25</v>
      </c>
      <c r="AA32" s="5">
        <v>126.25</v>
      </c>
      <c r="AB32" s="9">
        <v>169.25</v>
      </c>
      <c r="AK32" t="s">
        <v>707</v>
      </c>
      <c r="AO32" t="s">
        <v>2928</v>
      </c>
      <c r="AQ32" s="24">
        <v>46084.523032407407</v>
      </c>
    </row>
    <row r="33" spans="2:43" x14ac:dyDescent="0.25">
      <c r="B33">
        <v>189</v>
      </c>
      <c r="C33">
        <v>1</v>
      </c>
      <c r="D33" s="21">
        <v>46098.604166666664</v>
      </c>
      <c r="E33">
        <v>125</v>
      </c>
      <c r="F33" t="s">
        <v>707</v>
      </c>
      <c r="G33">
        <v>73379908677</v>
      </c>
      <c r="H33" t="s">
        <v>1307</v>
      </c>
      <c r="I33" s="5">
        <v>42</v>
      </c>
      <c r="J33" t="s">
        <v>1096</v>
      </c>
      <c r="K33" s="18">
        <v>42161</v>
      </c>
      <c r="L33" t="s">
        <v>1308</v>
      </c>
      <c r="M33" t="s">
        <v>1309</v>
      </c>
      <c r="N33">
        <v>36204803154</v>
      </c>
      <c r="O33" t="s">
        <v>1310</v>
      </c>
      <c r="P33" t="s">
        <v>1311</v>
      </c>
      <c r="Q33" t="s">
        <v>1310</v>
      </c>
      <c r="R33" s="34"/>
      <c r="V33">
        <v>37</v>
      </c>
      <c r="W33">
        <v>32</v>
      </c>
      <c r="X33" s="5">
        <v>69</v>
      </c>
      <c r="Y33" s="5">
        <v>86.25</v>
      </c>
      <c r="Z33" s="33">
        <v>25</v>
      </c>
      <c r="AA33" s="5">
        <v>111.25</v>
      </c>
      <c r="AB33" s="9">
        <v>153.25</v>
      </c>
      <c r="AI33" t="s">
        <v>707</v>
      </c>
      <c r="AJ33" t="s">
        <v>707</v>
      </c>
      <c r="AK33" t="s">
        <v>707</v>
      </c>
      <c r="AL33" t="s">
        <v>707</v>
      </c>
      <c r="AO33" t="s">
        <v>2929</v>
      </c>
      <c r="AQ33" s="24">
        <v>46084.523043981484</v>
      </c>
    </row>
    <row r="34" spans="2:43" x14ac:dyDescent="0.25">
      <c r="B34">
        <v>33</v>
      </c>
      <c r="C34">
        <v>6</v>
      </c>
      <c r="D34" s="21">
        <v>46087.375</v>
      </c>
      <c r="E34">
        <v>214</v>
      </c>
      <c r="F34" t="s">
        <v>707</v>
      </c>
      <c r="G34">
        <v>73356971698</v>
      </c>
      <c r="H34" t="s">
        <v>1312</v>
      </c>
      <c r="I34" s="5">
        <v>26</v>
      </c>
      <c r="J34" t="s">
        <v>1104</v>
      </c>
      <c r="K34" s="18">
        <v>42092</v>
      </c>
      <c r="L34" t="s">
        <v>1313</v>
      </c>
      <c r="M34" t="s">
        <v>1314</v>
      </c>
      <c r="N34">
        <v>36309245272</v>
      </c>
      <c r="O34" t="s">
        <v>1315</v>
      </c>
      <c r="P34" t="s">
        <v>1316</v>
      </c>
      <c r="Q34" t="s">
        <v>1317</v>
      </c>
      <c r="R34" s="34"/>
      <c r="V34">
        <v>38</v>
      </c>
      <c r="W34">
        <v>24</v>
      </c>
      <c r="X34" s="5">
        <v>62</v>
      </c>
      <c r="Y34" s="5">
        <v>77.5</v>
      </c>
      <c r="Z34" s="33">
        <v>25</v>
      </c>
      <c r="AA34" s="5">
        <v>102.5</v>
      </c>
      <c r="AB34" s="9">
        <v>128.5</v>
      </c>
      <c r="AI34" t="s">
        <v>707</v>
      </c>
      <c r="AK34" t="s">
        <v>707</v>
      </c>
      <c r="AL34" t="s">
        <v>707</v>
      </c>
      <c r="AO34" t="s">
        <v>2930</v>
      </c>
      <c r="AQ34" s="24">
        <v>46084.523032407407</v>
      </c>
    </row>
    <row r="35" spans="2:43" x14ac:dyDescent="0.25">
      <c r="B35">
        <v>34</v>
      </c>
      <c r="C35">
        <v>7</v>
      </c>
      <c r="D35" s="21">
        <v>46087.375</v>
      </c>
      <c r="E35" s="31">
        <v>68</v>
      </c>
      <c r="F35" t="s">
        <v>707</v>
      </c>
      <c r="G35">
        <v>73540808263</v>
      </c>
      <c r="H35" t="s">
        <v>1318</v>
      </c>
      <c r="I35" s="5">
        <v>49</v>
      </c>
      <c r="J35" t="s">
        <v>1319</v>
      </c>
      <c r="K35" s="18">
        <v>42332</v>
      </c>
      <c r="L35" t="s">
        <v>1320</v>
      </c>
      <c r="M35" t="s">
        <v>1321</v>
      </c>
      <c r="N35">
        <v>36302691403</v>
      </c>
      <c r="O35" t="s">
        <v>1322</v>
      </c>
      <c r="P35" t="s">
        <v>1323</v>
      </c>
      <c r="Q35" t="s">
        <v>1324</v>
      </c>
      <c r="R35" s="34"/>
      <c r="V35">
        <v>37</v>
      </c>
      <c r="W35">
        <v>36</v>
      </c>
      <c r="X35" s="5">
        <v>73</v>
      </c>
      <c r="Y35" s="5">
        <v>91.25</v>
      </c>
      <c r="Z35" s="33">
        <v>25</v>
      </c>
      <c r="AA35" s="5">
        <v>116.25</v>
      </c>
      <c r="AB35" s="9">
        <v>165.25</v>
      </c>
      <c r="AI35" t="s">
        <v>707</v>
      </c>
      <c r="AJ35" t="s">
        <v>707</v>
      </c>
      <c r="AL35" t="s">
        <v>707</v>
      </c>
      <c r="AO35" t="s">
        <v>2931</v>
      </c>
      <c r="AQ35" s="24">
        <v>46084.522974537038</v>
      </c>
    </row>
    <row r="36" spans="2:43" x14ac:dyDescent="0.25">
      <c r="B36">
        <v>35</v>
      </c>
      <c r="C36">
        <v>7</v>
      </c>
      <c r="D36" s="21">
        <v>46087.375</v>
      </c>
      <c r="E36">
        <v>198</v>
      </c>
      <c r="F36" t="s">
        <v>707</v>
      </c>
      <c r="G36">
        <v>73382220399</v>
      </c>
      <c r="H36" t="s">
        <v>1325</v>
      </c>
      <c r="I36" s="5">
        <v>28</v>
      </c>
      <c r="J36" t="s">
        <v>1100</v>
      </c>
      <c r="K36" s="18">
        <v>42207</v>
      </c>
      <c r="L36" t="s">
        <v>1326</v>
      </c>
      <c r="M36" t="s">
        <v>1327</v>
      </c>
      <c r="N36">
        <v>36202158395</v>
      </c>
      <c r="O36" t="s">
        <v>1328</v>
      </c>
      <c r="P36" t="s">
        <v>1329</v>
      </c>
      <c r="Q36" t="s">
        <v>1328</v>
      </c>
      <c r="R36" s="34"/>
      <c r="V36">
        <v>38</v>
      </c>
      <c r="W36">
        <v>28</v>
      </c>
      <c r="X36" s="5">
        <v>66</v>
      </c>
      <c r="Y36" s="5">
        <v>82.5</v>
      </c>
      <c r="Z36" s="33">
        <v>25</v>
      </c>
      <c r="AA36" s="5">
        <v>107.5</v>
      </c>
      <c r="AB36" s="9">
        <v>135.5</v>
      </c>
      <c r="AI36" t="s">
        <v>707</v>
      </c>
      <c r="AJ36" t="s">
        <v>707</v>
      </c>
      <c r="AK36" t="s">
        <v>707</v>
      </c>
      <c r="AL36" t="s">
        <v>707</v>
      </c>
      <c r="AO36" t="s">
        <v>2932</v>
      </c>
      <c r="AQ36" s="24">
        <v>46084.522974537038</v>
      </c>
    </row>
    <row r="37" spans="2:43" x14ac:dyDescent="0.25">
      <c r="B37">
        <v>36</v>
      </c>
      <c r="C37">
        <v>7</v>
      </c>
      <c r="D37" s="21">
        <v>46087.375</v>
      </c>
      <c r="E37">
        <v>90</v>
      </c>
      <c r="F37" t="s">
        <v>707</v>
      </c>
      <c r="G37">
        <v>73459958235</v>
      </c>
      <c r="H37" t="s">
        <v>1330</v>
      </c>
      <c r="I37" s="5">
        <v>31</v>
      </c>
      <c r="J37" t="s">
        <v>1096</v>
      </c>
      <c r="K37" s="18">
        <v>42510</v>
      </c>
      <c r="L37" t="s">
        <v>1331</v>
      </c>
      <c r="M37" t="s">
        <v>1332</v>
      </c>
      <c r="N37">
        <v>36302085751</v>
      </c>
      <c r="O37" t="s">
        <v>1333</v>
      </c>
      <c r="P37" t="s">
        <v>1334</v>
      </c>
      <c r="Q37" t="s">
        <v>1335</v>
      </c>
      <c r="R37" s="34" t="s">
        <v>2381</v>
      </c>
      <c r="S37" t="s">
        <v>188</v>
      </c>
      <c r="T37" t="s">
        <v>189</v>
      </c>
      <c r="U37" t="s">
        <v>190</v>
      </c>
      <c r="V37">
        <v>42</v>
      </c>
      <c r="W37">
        <v>41</v>
      </c>
      <c r="X37" s="5">
        <v>83</v>
      </c>
      <c r="Y37" s="5">
        <v>103.75</v>
      </c>
      <c r="Z37" s="33">
        <v>25</v>
      </c>
      <c r="AA37" s="5">
        <v>128.75</v>
      </c>
      <c r="AB37" s="9">
        <v>159.75</v>
      </c>
      <c r="AI37" t="s">
        <v>707</v>
      </c>
      <c r="AJ37" t="s">
        <v>707</v>
      </c>
      <c r="AO37" t="s">
        <v>2933</v>
      </c>
      <c r="AQ37" s="24">
        <v>46084.522974537038</v>
      </c>
    </row>
    <row r="38" spans="2:43" x14ac:dyDescent="0.25">
      <c r="B38">
        <v>37</v>
      </c>
      <c r="C38">
        <v>8</v>
      </c>
      <c r="D38" s="21">
        <v>46087.375</v>
      </c>
      <c r="E38">
        <v>200</v>
      </c>
      <c r="F38" t="s">
        <v>707</v>
      </c>
      <c r="G38">
        <v>73407943496</v>
      </c>
      <c r="H38" t="s">
        <v>1336</v>
      </c>
      <c r="I38" s="5">
        <v>30</v>
      </c>
      <c r="J38" t="s">
        <v>1098</v>
      </c>
      <c r="K38" s="18">
        <v>42365</v>
      </c>
      <c r="L38" t="s">
        <v>1337</v>
      </c>
      <c r="M38" t="s">
        <v>1338</v>
      </c>
      <c r="N38">
        <v>36209141201</v>
      </c>
      <c r="O38" t="s">
        <v>1339</v>
      </c>
      <c r="P38" t="s">
        <v>1337</v>
      </c>
      <c r="Q38" t="s">
        <v>1340</v>
      </c>
      <c r="R38" s="34"/>
      <c r="V38">
        <v>37</v>
      </c>
      <c r="W38">
        <v>28</v>
      </c>
      <c r="X38" s="5">
        <v>65</v>
      </c>
      <c r="Y38" s="5">
        <v>81.25</v>
      </c>
      <c r="Z38" s="33">
        <v>24.09</v>
      </c>
      <c r="AA38" s="5">
        <v>105.34</v>
      </c>
      <c r="AB38" s="9">
        <v>135.34</v>
      </c>
      <c r="AI38" t="s">
        <v>707</v>
      </c>
      <c r="AJ38" t="s">
        <v>707</v>
      </c>
      <c r="AK38" t="s">
        <v>707</v>
      </c>
      <c r="AL38" t="s">
        <v>707</v>
      </c>
      <c r="AO38" t="s">
        <v>2934</v>
      </c>
      <c r="AQ38" s="24">
        <v>46084.522893518515</v>
      </c>
    </row>
    <row r="39" spans="2:43" x14ac:dyDescent="0.25">
      <c r="B39">
        <v>38</v>
      </c>
      <c r="C39">
        <v>8</v>
      </c>
      <c r="D39" s="21">
        <v>46087.375</v>
      </c>
      <c r="E39">
        <v>215</v>
      </c>
      <c r="F39" t="s">
        <v>707</v>
      </c>
      <c r="G39">
        <v>73402609673</v>
      </c>
      <c r="H39" t="s">
        <v>1341</v>
      </c>
      <c r="I39" s="5">
        <v>0</v>
      </c>
      <c r="J39" t="s">
        <v>1097</v>
      </c>
      <c r="K39" s="18">
        <v>42228</v>
      </c>
      <c r="L39" t="s">
        <v>1342</v>
      </c>
      <c r="M39" t="s">
        <v>1343</v>
      </c>
      <c r="N39">
        <v>36709055098</v>
      </c>
      <c r="O39" t="s">
        <v>1344</v>
      </c>
      <c r="P39" t="s">
        <v>1345</v>
      </c>
      <c r="Q39" t="s">
        <v>1344</v>
      </c>
      <c r="R39" s="34"/>
      <c r="V39">
        <v>45</v>
      </c>
      <c r="W39">
        <v>37</v>
      </c>
      <c r="X39" s="5">
        <v>82</v>
      </c>
      <c r="Y39" s="5">
        <v>102.5</v>
      </c>
      <c r="Z39" s="33">
        <v>25</v>
      </c>
      <c r="AA39" s="5">
        <v>127.5</v>
      </c>
      <c r="AB39" s="9">
        <v>127.5</v>
      </c>
      <c r="AI39" t="s">
        <v>707</v>
      </c>
      <c r="AJ39" t="s">
        <v>707</v>
      </c>
      <c r="AK39" t="s">
        <v>707</v>
      </c>
      <c r="AL39" t="s">
        <v>707</v>
      </c>
      <c r="AN39" t="s">
        <v>2895</v>
      </c>
      <c r="AO39" t="s">
        <v>2935</v>
      </c>
      <c r="AQ39" s="24">
        <v>46084.522893518515</v>
      </c>
    </row>
    <row r="40" spans="2:43" x14ac:dyDescent="0.25">
      <c r="B40">
        <v>39</v>
      </c>
      <c r="C40">
        <v>8</v>
      </c>
      <c r="D40" s="21">
        <v>46087.375</v>
      </c>
      <c r="E40">
        <v>148</v>
      </c>
      <c r="F40" t="s">
        <v>707</v>
      </c>
      <c r="G40">
        <v>73462455579</v>
      </c>
      <c r="H40" t="s">
        <v>1346</v>
      </c>
      <c r="I40" s="5">
        <v>41</v>
      </c>
      <c r="J40" t="s">
        <v>1347</v>
      </c>
      <c r="K40" s="18">
        <v>42574</v>
      </c>
      <c r="L40" t="s">
        <v>1348</v>
      </c>
      <c r="M40" t="s">
        <v>1349</v>
      </c>
      <c r="N40">
        <v>36303291323</v>
      </c>
      <c r="O40" t="s">
        <v>1350</v>
      </c>
      <c r="P40" t="s">
        <v>1351</v>
      </c>
      <c r="Q40" t="s">
        <v>1350</v>
      </c>
      <c r="R40" s="34" t="s">
        <v>2382</v>
      </c>
      <c r="S40" t="s">
        <v>38</v>
      </c>
      <c r="T40" t="s">
        <v>39</v>
      </c>
      <c r="U40" t="s">
        <v>40</v>
      </c>
      <c r="V40">
        <v>35</v>
      </c>
      <c r="W40">
        <v>33</v>
      </c>
      <c r="X40" s="5">
        <v>68</v>
      </c>
      <c r="Y40" s="5">
        <v>85</v>
      </c>
      <c r="Z40" s="33">
        <v>22.73</v>
      </c>
      <c r="AA40" s="5">
        <v>107.73</v>
      </c>
      <c r="AB40" s="9">
        <v>148.72999999999999</v>
      </c>
      <c r="AI40" t="s">
        <v>707</v>
      </c>
      <c r="AJ40" t="s">
        <v>707</v>
      </c>
      <c r="AK40" t="s">
        <v>707</v>
      </c>
      <c r="AL40" t="s">
        <v>707</v>
      </c>
      <c r="AO40" t="s">
        <v>2936</v>
      </c>
      <c r="AQ40" s="24">
        <v>46084.522893518515</v>
      </c>
    </row>
    <row r="41" spans="2:43" x14ac:dyDescent="0.25">
      <c r="B41">
        <v>190</v>
      </c>
      <c r="C41">
        <v>1</v>
      </c>
      <c r="D41" s="21">
        <v>46091.604166666664</v>
      </c>
      <c r="E41">
        <v>190</v>
      </c>
      <c r="F41" t="s">
        <v>707</v>
      </c>
      <c r="G41">
        <v>73409512218</v>
      </c>
      <c r="H41" t="s">
        <v>1352</v>
      </c>
      <c r="I41" s="5">
        <v>24</v>
      </c>
      <c r="J41" t="s">
        <v>1099</v>
      </c>
      <c r="K41" s="18">
        <v>42383</v>
      </c>
      <c r="L41" t="s">
        <v>1353</v>
      </c>
      <c r="M41" t="s">
        <v>1354</v>
      </c>
      <c r="N41">
        <v>36704201800</v>
      </c>
      <c r="O41" t="s">
        <v>1355</v>
      </c>
      <c r="P41" t="s">
        <v>1353</v>
      </c>
      <c r="Q41" t="s">
        <v>1355</v>
      </c>
      <c r="R41" s="34" t="s">
        <v>2383</v>
      </c>
      <c r="S41" t="s">
        <v>510</v>
      </c>
      <c r="T41" t="s">
        <v>511</v>
      </c>
      <c r="U41" t="s">
        <v>147</v>
      </c>
      <c r="V41">
        <v>37</v>
      </c>
      <c r="W41">
        <v>35</v>
      </c>
      <c r="X41" s="5">
        <v>72</v>
      </c>
      <c r="Y41" s="5">
        <v>90</v>
      </c>
      <c r="Z41" s="33">
        <v>23.18</v>
      </c>
      <c r="AA41" s="5">
        <v>113.18</v>
      </c>
      <c r="AB41" s="9">
        <v>137.18</v>
      </c>
      <c r="AI41" t="s">
        <v>707</v>
      </c>
      <c r="AJ41" t="s">
        <v>707</v>
      </c>
      <c r="AM41" t="s">
        <v>1356</v>
      </c>
      <c r="AO41" t="s">
        <v>2937</v>
      </c>
      <c r="AQ41" s="24">
        <v>46084.523055555554</v>
      </c>
    </row>
    <row r="42" spans="2:43" x14ac:dyDescent="0.25">
      <c r="B42">
        <v>40</v>
      </c>
      <c r="C42">
        <v>9</v>
      </c>
      <c r="D42" s="21">
        <v>46087.375</v>
      </c>
      <c r="E42" s="31">
        <v>64</v>
      </c>
      <c r="F42" t="s">
        <v>707</v>
      </c>
      <c r="G42">
        <v>73441886691</v>
      </c>
      <c r="H42" t="s">
        <v>1357</v>
      </c>
      <c r="I42" s="5">
        <v>41</v>
      </c>
      <c r="J42" t="s">
        <v>1099</v>
      </c>
      <c r="K42" s="18">
        <v>42508</v>
      </c>
      <c r="L42" t="s">
        <v>1358</v>
      </c>
      <c r="M42" t="s">
        <v>1359</v>
      </c>
      <c r="N42">
        <v>36203121035</v>
      </c>
      <c r="O42" t="s">
        <v>1360</v>
      </c>
      <c r="P42" t="s">
        <v>1361</v>
      </c>
      <c r="Q42" t="s">
        <v>1360</v>
      </c>
      <c r="R42" s="34"/>
      <c r="V42">
        <v>42</v>
      </c>
      <c r="W42">
        <v>38</v>
      </c>
      <c r="X42" s="5">
        <v>80</v>
      </c>
      <c r="Y42" s="5">
        <v>100</v>
      </c>
      <c r="Z42" s="33">
        <v>25</v>
      </c>
      <c r="AA42" s="5">
        <v>125</v>
      </c>
      <c r="AB42" s="9">
        <v>166</v>
      </c>
      <c r="AI42" t="s">
        <v>707</v>
      </c>
      <c r="AJ42" t="s">
        <v>707</v>
      </c>
      <c r="AO42" t="s">
        <v>2938</v>
      </c>
      <c r="AQ42" s="24">
        <v>46084.52306712963</v>
      </c>
    </row>
    <row r="43" spans="2:43" x14ac:dyDescent="0.25">
      <c r="B43">
        <v>41</v>
      </c>
      <c r="C43">
        <v>9</v>
      </c>
      <c r="D43" s="21">
        <v>46087.375</v>
      </c>
      <c r="E43" s="31">
        <v>25</v>
      </c>
      <c r="F43" t="s">
        <v>707</v>
      </c>
      <c r="G43">
        <v>73401049528</v>
      </c>
      <c r="H43" t="s">
        <v>1362</v>
      </c>
      <c r="I43" s="5">
        <v>47</v>
      </c>
      <c r="J43" t="s">
        <v>1097</v>
      </c>
      <c r="K43" s="18">
        <v>42324</v>
      </c>
      <c r="L43" t="s">
        <v>1363</v>
      </c>
      <c r="M43" t="s">
        <v>1364</v>
      </c>
      <c r="N43">
        <v>36209387122</v>
      </c>
      <c r="O43" t="s">
        <v>1365</v>
      </c>
      <c r="P43" t="s">
        <v>1363</v>
      </c>
      <c r="Q43" t="s">
        <v>1365</v>
      </c>
      <c r="R43" s="34" t="s">
        <v>2369</v>
      </c>
      <c r="S43" t="s">
        <v>152</v>
      </c>
      <c r="T43" t="s">
        <v>153</v>
      </c>
      <c r="U43" t="s">
        <v>154</v>
      </c>
      <c r="V43">
        <v>42</v>
      </c>
      <c r="W43">
        <v>40</v>
      </c>
      <c r="X43" s="5">
        <v>82</v>
      </c>
      <c r="Y43" s="5">
        <v>102.5</v>
      </c>
      <c r="Z43" s="33">
        <v>25</v>
      </c>
      <c r="AA43" s="5">
        <v>127.5</v>
      </c>
      <c r="AB43" s="9">
        <v>174.5</v>
      </c>
      <c r="AI43" t="s">
        <v>707</v>
      </c>
      <c r="AK43" t="s">
        <v>707</v>
      </c>
      <c r="AO43" t="s">
        <v>2939</v>
      </c>
      <c r="AQ43" s="24">
        <v>46084.52306712963</v>
      </c>
    </row>
    <row r="44" spans="2:43" x14ac:dyDescent="0.25">
      <c r="B44">
        <v>42</v>
      </c>
      <c r="C44">
        <v>9</v>
      </c>
      <c r="D44" s="21">
        <v>46087.375</v>
      </c>
      <c r="E44" s="31">
        <v>78</v>
      </c>
      <c r="F44" t="s">
        <v>707</v>
      </c>
      <c r="G44">
        <v>73346363733</v>
      </c>
      <c r="H44" t="s">
        <v>1366</v>
      </c>
      <c r="I44" s="5">
        <v>24</v>
      </c>
      <c r="J44" t="s">
        <v>1101</v>
      </c>
      <c r="K44" s="18">
        <v>42287</v>
      </c>
      <c r="L44" t="s">
        <v>1367</v>
      </c>
      <c r="M44" t="s">
        <v>1368</v>
      </c>
      <c r="N44">
        <v>36304476674</v>
      </c>
      <c r="O44" t="s">
        <v>1369</v>
      </c>
      <c r="P44" t="s">
        <v>1370</v>
      </c>
      <c r="Q44" t="s">
        <v>1369</v>
      </c>
      <c r="R44" s="34"/>
      <c r="V44">
        <v>46</v>
      </c>
      <c r="W44">
        <v>45</v>
      </c>
      <c r="X44" s="5">
        <v>91</v>
      </c>
      <c r="Y44" s="5">
        <v>113.75</v>
      </c>
      <c r="Z44" s="33">
        <v>25</v>
      </c>
      <c r="AA44" s="5">
        <v>138.75</v>
      </c>
      <c r="AB44" s="9">
        <v>162.75</v>
      </c>
      <c r="AD44" t="s">
        <v>707</v>
      </c>
      <c r="AI44" t="s">
        <v>707</v>
      </c>
      <c r="AJ44" t="s">
        <v>707</v>
      </c>
      <c r="AK44" t="s">
        <v>707</v>
      </c>
      <c r="AL44" t="s">
        <v>707</v>
      </c>
      <c r="AO44" t="s">
        <v>2940</v>
      </c>
      <c r="AQ44" s="24">
        <v>46084.52306712963</v>
      </c>
    </row>
    <row r="45" spans="2:43" x14ac:dyDescent="0.25">
      <c r="B45">
        <v>43</v>
      </c>
      <c r="C45">
        <v>1</v>
      </c>
      <c r="D45" s="21">
        <v>46087.40625</v>
      </c>
      <c r="E45">
        <v>124</v>
      </c>
      <c r="F45" t="s">
        <v>707</v>
      </c>
      <c r="G45">
        <v>73398409929</v>
      </c>
      <c r="H45" t="s">
        <v>1371</v>
      </c>
      <c r="I45" s="5">
        <v>40</v>
      </c>
      <c r="J45" t="s">
        <v>1100</v>
      </c>
      <c r="K45" s="18">
        <v>42143</v>
      </c>
      <c r="L45" t="s">
        <v>1372</v>
      </c>
      <c r="M45" t="s">
        <v>1373</v>
      </c>
      <c r="N45">
        <v>36209363604</v>
      </c>
      <c r="O45" t="s">
        <v>1374</v>
      </c>
      <c r="P45" t="s">
        <v>1375</v>
      </c>
      <c r="Q45" t="s">
        <v>1374</v>
      </c>
      <c r="R45" s="34" t="s">
        <v>2844</v>
      </c>
      <c r="S45" t="s">
        <v>1376</v>
      </c>
      <c r="T45" t="s">
        <v>2836</v>
      </c>
      <c r="U45" t="s">
        <v>2835</v>
      </c>
      <c r="V45">
        <v>40</v>
      </c>
      <c r="W45">
        <v>31</v>
      </c>
      <c r="X45" s="5">
        <v>71</v>
      </c>
      <c r="Y45" s="5">
        <v>88.75</v>
      </c>
      <c r="Z45" s="33">
        <v>25</v>
      </c>
      <c r="AA45" s="5">
        <v>113.75</v>
      </c>
      <c r="AB45" s="9">
        <v>153.75</v>
      </c>
      <c r="AI45" t="s">
        <v>707</v>
      </c>
      <c r="AJ45" t="s">
        <v>707</v>
      </c>
      <c r="AK45" t="s">
        <v>707</v>
      </c>
      <c r="AL45" t="s">
        <v>707</v>
      </c>
      <c r="AO45" t="s">
        <v>2941</v>
      </c>
      <c r="AQ45" s="24">
        <v>46084.523090277777</v>
      </c>
    </row>
    <row r="46" spans="2:43" x14ac:dyDescent="0.25">
      <c r="B46">
        <v>44</v>
      </c>
      <c r="C46">
        <v>1</v>
      </c>
      <c r="D46" s="21">
        <v>46087.40625</v>
      </c>
      <c r="E46" s="31">
        <v>83</v>
      </c>
      <c r="F46" t="s">
        <v>707</v>
      </c>
      <c r="G46">
        <v>73393879029</v>
      </c>
      <c r="H46" t="s">
        <v>1377</v>
      </c>
      <c r="I46" s="5">
        <v>44</v>
      </c>
      <c r="J46" t="s">
        <v>1098</v>
      </c>
      <c r="K46" s="18">
        <v>42176</v>
      </c>
      <c r="L46" t="s">
        <v>1378</v>
      </c>
      <c r="M46" t="s">
        <v>1379</v>
      </c>
      <c r="N46">
        <v>36205783971</v>
      </c>
      <c r="O46" t="s">
        <v>1380</v>
      </c>
      <c r="P46" t="s">
        <v>1378</v>
      </c>
      <c r="Q46" t="s">
        <v>1380</v>
      </c>
      <c r="R46" s="34"/>
      <c r="V46">
        <v>41</v>
      </c>
      <c r="W46">
        <v>34</v>
      </c>
      <c r="X46" s="5">
        <v>75</v>
      </c>
      <c r="Y46" s="5">
        <v>93.75</v>
      </c>
      <c r="Z46" s="33">
        <v>24.09</v>
      </c>
      <c r="AA46" s="5">
        <v>117.84</v>
      </c>
      <c r="AB46" s="9">
        <v>161.84</v>
      </c>
      <c r="AJ46" t="s">
        <v>707</v>
      </c>
      <c r="AK46" t="s">
        <v>707</v>
      </c>
      <c r="AL46" t="s">
        <v>707</v>
      </c>
      <c r="AO46" t="s">
        <v>2942</v>
      </c>
      <c r="AQ46" s="24">
        <v>46084.523090277777</v>
      </c>
    </row>
    <row r="47" spans="2:43" x14ac:dyDescent="0.25">
      <c r="B47">
        <v>45</v>
      </c>
      <c r="C47">
        <v>1</v>
      </c>
      <c r="D47" s="21">
        <v>46099.635416666664</v>
      </c>
      <c r="E47" s="31">
        <v>50</v>
      </c>
      <c r="F47" t="s">
        <v>707</v>
      </c>
      <c r="G47">
        <v>73390908771</v>
      </c>
      <c r="H47" t="s">
        <v>1381</v>
      </c>
      <c r="I47" s="5">
        <v>35</v>
      </c>
      <c r="J47" t="s">
        <v>1096</v>
      </c>
      <c r="K47" s="18">
        <v>42209</v>
      </c>
      <c r="L47" t="s">
        <v>1382</v>
      </c>
      <c r="M47" t="s">
        <v>1383</v>
      </c>
      <c r="N47">
        <v>36204665324</v>
      </c>
      <c r="O47" t="s">
        <v>1384</v>
      </c>
      <c r="P47" t="s">
        <v>1382</v>
      </c>
      <c r="Q47" t="s">
        <v>1384</v>
      </c>
      <c r="R47" s="34"/>
      <c r="V47">
        <v>48</v>
      </c>
      <c r="W47">
        <v>39</v>
      </c>
      <c r="X47" s="5">
        <v>87</v>
      </c>
      <c r="Y47" s="5">
        <v>108.75</v>
      </c>
      <c r="Z47" s="33">
        <v>25</v>
      </c>
      <c r="AA47" s="5">
        <v>133.75</v>
      </c>
      <c r="AB47" s="9">
        <v>168.75</v>
      </c>
      <c r="AI47" t="s">
        <v>707</v>
      </c>
      <c r="AJ47" t="s">
        <v>707</v>
      </c>
      <c r="AK47" t="s">
        <v>707</v>
      </c>
      <c r="AO47" t="s">
        <v>2943</v>
      </c>
      <c r="AQ47" s="24">
        <v>46097.359050925923</v>
      </c>
    </row>
    <row r="48" spans="2:43" x14ac:dyDescent="0.25">
      <c r="B48">
        <v>46</v>
      </c>
      <c r="C48">
        <v>1</v>
      </c>
      <c r="D48" s="21">
        <v>46087.40625</v>
      </c>
      <c r="E48" s="31">
        <v>67</v>
      </c>
      <c r="F48" t="s">
        <v>707</v>
      </c>
      <c r="G48">
        <v>73440702539</v>
      </c>
      <c r="H48" t="s">
        <v>1385</v>
      </c>
      <c r="I48" s="5">
        <v>32</v>
      </c>
      <c r="J48" t="s">
        <v>1101</v>
      </c>
      <c r="K48" s="18">
        <v>42579</v>
      </c>
      <c r="L48" t="s">
        <v>1386</v>
      </c>
      <c r="M48" t="s">
        <v>1387</v>
      </c>
      <c r="N48">
        <v>36302503490</v>
      </c>
      <c r="O48" t="s">
        <v>1388</v>
      </c>
      <c r="P48" t="s">
        <v>1389</v>
      </c>
      <c r="Q48" t="s">
        <v>1388</v>
      </c>
      <c r="R48" s="34" t="s">
        <v>2845</v>
      </c>
      <c r="S48" t="s">
        <v>1390</v>
      </c>
      <c r="T48" t="s">
        <v>2838</v>
      </c>
      <c r="U48" t="s">
        <v>2839</v>
      </c>
      <c r="V48">
        <v>48</v>
      </c>
      <c r="W48">
        <v>39</v>
      </c>
      <c r="X48" s="5">
        <v>87</v>
      </c>
      <c r="Y48" s="5">
        <v>108.75</v>
      </c>
      <c r="Z48" s="33">
        <v>25</v>
      </c>
      <c r="AA48" s="5">
        <v>133.75</v>
      </c>
      <c r="AB48" s="9">
        <v>165.75</v>
      </c>
      <c r="AI48" t="s">
        <v>707</v>
      </c>
      <c r="AJ48" t="s">
        <v>707</v>
      </c>
      <c r="AK48" t="s">
        <v>707</v>
      </c>
      <c r="AL48" t="s">
        <v>707</v>
      </c>
      <c r="AO48" t="s">
        <v>2944</v>
      </c>
      <c r="AQ48" s="24">
        <v>46084.523090277777</v>
      </c>
    </row>
    <row r="49" spans="2:43" x14ac:dyDescent="0.25">
      <c r="B49">
        <v>47</v>
      </c>
      <c r="C49">
        <v>2</v>
      </c>
      <c r="D49" s="21">
        <v>46087.40625</v>
      </c>
      <c r="E49">
        <v>191</v>
      </c>
      <c r="F49" t="s">
        <v>707</v>
      </c>
      <c r="G49">
        <v>73423708584</v>
      </c>
      <c r="H49" t="s">
        <v>1391</v>
      </c>
      <c r="I49" s="5">
        <v>30</v>
      </c>
      <c r="J49" t="s">
        <v>1097</v>
      </c>
      <c r="K49" s="18">
        <v>42308</v>
      </c>
      <c r="L49" t="s">
        <v>1392</v>
      </c>
      <c r="M49" t="s">
        <v>1393</v>
      </c>
      <c r="N49">
        <v>36709427728</v>
      </c>
      <c r="O49" t="s">
        <v>1394</v>
      </c>
      <c r="P49" t="s">
        <v>1395</v>
      </c>
      <c r="Q49" t="s">
        <v>1394</v>
      </c>
      <c r="R49" s="34" t="s">
        <v>1109</v>
      </c>
      <c r="S49" t="s">
        <v>371</v>
      </c>
      <c r="T49" t="s">
        <v>372</v>
      </c>
      <c r="U49" t="s">
        <v>373</v>
      </c>
      <c r="V49">
        <v>35</v>
      </c>
      <c r="W49">
        <v>31</v>
      </c>
      <c r="X49" s="5">
        <v>66</v>
      </c>
      <c r="Y49" s="5">
        <v>82.5</v>
      </c>
      <c r="Z49" s="33">
        <v>24.54</v>
      </c>
      <c r="AA49" s="5">
        <v>107.04</v>
      </c>
      <c r="AB49" s="9">
        <v>137.04</v>
      </c>
      <c r="AI49" t="s">
        <v>707</v>
      </c>
      <c r="AJ49" t="s">
        <v>707</v>
      </c>
      <c r="AK49" t="s">
        <v>707</v>
      </c>
      <c r="AL49" t="s">
        <v>707</v>
      </c>
      <c r="AO49" t="s">
        <v>2945</v>
      </c>
      <c r="AQ49" s="24">
        <v>46084.523101851853</v>
      </c>
    </row>
    <row r="50" spans="2:43" x14ac:dyDescent="0.25">
      <c r="B50">
        <v>221</v>
      </c>
      <c r="C50">
        <v>2</v>
      </c>
      <c r="D50" s="21">
        <v>46098.635416666664</v>
      </c>
      <c r="E50" s="19">
        <v>227</v>
      </c>
      <c r="F50" t="s">
        <v>707</v>
      </c>
      <c r="G50">
        <v>73459569658</v>
      </c>
      <c r="H50" t="s">
        <v>1396</v>
      </c>
      <c r="I50" s="5">
        <v>29</v>
      </c>
      <c r="J50" t="s">
        <v>1397</v>
      </c>
      <c r="K50" s="18">
        <v>42354</v>
      </c>
      <c r="L50" t="s">
        <v>1398</v>
      </c>
      <c r="M50" t="s">
        <v>1399</v>
      </c>
      <c r="N50">
        <v>36706523019</v>
      </c>
      <c r="O50" t="s">
        <v>1400</v>
      </c>
      <c r="P50" t="s">
        <v>1398</v>
      </c>
      <c r="Q50" t="s">
        <v>1400</v>
      </c>
      <c r="R50" s="34" t="s">
        <v>2846</v>
      </c>
      <c r="S50" t="s">
        <v>1401</v>
      </c>
      <c r="T50" t="s">
        <v>2840</v>
      </c>
      <c r="U50" t="s">
        <v>2841</v>
      </c>
      <c r="V50">
        <v>33</v>
      </c>
      <c r="W50">
        <v>21</v>
      </c>
      <c r="X50" s="5">
        <v>54</v>
      </c>
      <c r="Y50" s="5">
        <v>67.5</v>
      </c>
      <c r="Z50" s="33">
        <v>24.55</v>
      </c>
      <c r="AA50" s="5">
        <v>92.05</v>
      </c>
      <c r="AB50" s="9">
        <v>121.05</v>
      </c>
      <c r="AD50" t="s">
        <v>707</v>
      </c>
      <c r="AI50" t="s">
        <v>707</v>
      </c>
      <c r="AJ50" t="s">
        <v>707</v>
      </c>
      <c r="AL50" t="s">
        <v>707</v>
      </c>
      <c r="AO50" t="s">
        <v>2946</v>
      </c>
      <c r="AQ50" s="24">
        <v>46084.523125</v>
      </c>
    </row>
    <row r="51" spans="2:43" x14ac:dyDescent="0.25">
      <c r="B51">
        <v>48</v>
      </c>
      <c r="C51">
        <v>2</v>
      </c>
      <c r="D51" s="21">
        <v>46087.40625</v>
      </c>
      <c r="E51">
        <v>234</v>
      </c>
      <c r="F51" t="s">
        <v>707</v>
      </c>
      <c r="G51">
        <v>73468587557</v>
      </c>
      <c r="H51" t="s">
        <v>1402</v>
      </c>
      <c r="I51" s="5">
        <v>0</v>
      </c>
      <c r="J51" t="s">
        <v>1097</v>
      </c>
      <c r="K51" s="18">
        <v>42363</v>
      </c>
      <c r="L51" t="s">
        <v>1403</v>
      </c>
      <c r="M51" t="s">
        <v>1404</v>
      </c>
      <c r="N51">
        <v>36703802835</v>
      </c>
      <c r="O51" t="s">
        <v>1405</v>
      </c>
      <c r="P51" t="s">
        <v>1406</v>
      </c>
      <c r="Q51" t="s">
        <v>1407</v>
      </c>
      <c r="R51" s="34"/>
      <c r="V51">
        <v>40</v>
      </c>
      <c r="W51">
        <v>32</v>
      </c>
      <c r="X51" s="5">
        <v>72</v>
      </c>
      <c r="Y51" s="5">
        <v>90</v>
      </c>
      <c r="Z51" s="33">
        <v>25</v>
      </c>
      <c r="AA51" s="5">
        <v>115</v>
      </c>
      <c r="AB51" s="9">
        <v>115</v>
      </c>
      <c r="AI51" t="s">
        <v>707</v>
      </c>
      <c r="AN51" t="s">
        <v>2895</v>
      </c>
      <c r="AO51" t="s">
        <v>2947</v>
      </c>
      <c r="AQ51" s="24">
        <v>46084.523101851853</v>
      </c>
    </row>
    <row r="52" spans="2:43" x14ac:dyDescent="0.25">
      <c r="B52">
        <v>49</v>
      </c>
      <c r="C52">
        <v>2</v>
      </c>
      <c r="D52" s="21">
        <v>46087.40625</v>
      </c>
      <c r="E52">
        <v>110</v>
      </c>
      <c r="F52" t="s">
        <v>707</v>
      </c>
      <c r="G52">
        <v>73469475134</v>
      </c>
      <c r="H52" t="s">
        <v>1408</v>
      </c>
      <c r="I52" s="5">
        <v>48</v>
      </c>
      <c r="J52" t="s">
        <v>1101</v>
      </c>
      <c r="K52" s="18">
        <v>42512</v>
      </c>
      <c r="L52" t="s">
        <v>1409</v>
      </c>
      <c r="M52" t="s">
        <v>1410</v>
      </c>
      <c r="N52">
        <v>36302037642</v>
      </c>
      <c r="O52" t="s">
        <v>1411</v>
      </c>
      <c r="P52" t="s">
        <v>1409</v>
      </c>
      <c r="Q52" t="s">
        <v>1411</v>
      </c>
      <c r="R52" s="34" t="s">
        <v>1121</v>
      </c>
      <c r="S52" t="s">
        <v>522</v>
      </c>
      <c r="T52" t="s">
        <v>523</v>
      </c>
      <c r="U52" t="s">
        <v>524</v>
      </c>
      <c r="V52">
        <v>39</v>
      </c>
      <c r="W52">
        <v>27</v>
      </c>
      <c r="X52" s="5">
        <v>66</v>
      </c>
      <c r="Y52" s="5">
        <v>82.5</v>
      </c>
      <c r="Z52" s="33">
        <v>25</v>
      </c>
      <c r="AA52" s="5">
        <v>107.5</v>
      </c>
      <c r="AB52" s="9">
        <v>155.5</v>
      </c>
      <c r="AI52" t="s">
        <v>707</v>
      </c>
      <c r="AJ52" t="s">
        <v>707</v>
      </c>
      <c r="AK52" t="s">
        <v>707</v>
      </c>
      <c r="AL52" t="s">
        <v>707</v>
      </c>
      <c r="AO52" t="s">
        <v>2948</v>
      </c>
      <c r="AQ52" s="24">
        <v>46084.523101851853</v>
      </c>
    </row>
    <row r="53" spans="2:43" x14ac:dyDescent="0.25">
      <c r="B53">
        <v>50</v>
      </c>
      <c r="C53">
        <v>2</v>
      </c>
      <c r="D53" s="21">
        <v>46087.40625</v>
      </c>
      <c r="E53">
        <v>186</v>
      </c>
      <c r="F53" t="s">
        <v>707</v>
      </c>
      <c r="G53">
        <v>73399980971</v>
      </c>
      <c r="H53" t="s">
        <v>1412</v>
      </c>
      <c r="I53" s="5">
        <v>33</v>
      </c>
      <c r="J53" t="s">
        <v>1096</v>
      </c>
      <c r="K53" s="18">
        <v>42251</v>
      </c>
      <c r="L53" t="s">
        <v>1413</v>
      </c>
      <c r="M53" t="s">
        <v>1414</v>
      </c>
      <c r="N53">
        <v>36303850048</v>
      </c>
      <c r="O53" t="s">
        <v>1415</v>
      </c>
      <c r="P53" t="s">
        <v>1416</v>
      </c>
      <c r="Q53" t="s">
        <v>1415</v>
      </c>
      <c r="R53" s="34" t="s">
        <v>2382</v>
      </c>
      <c r="S53" t="s">
        <v>38</v>
      </c>
      <c r="T53" t="s">
        <v>39</v>
      </c>
      <c r="U53" t="s">
        <v>40</v>
      </c>
      <c r="V53">
        <v>34</v>
      </c>
      <c r="W53">
        <v>30</v>
      </c>
      <c r="X53" s="5">
        <v>64</v>
      </c>
      <c r="Y53" s="5">
        <v>80</v>
      </c>
      <c r="Z53" s="33">
        <v>25</v>
      </c>
      <c r="AA53" s="5">
        <v>105</v>
      </c>
      <c r="AB53" s="9">
        <v>138</v>
      </c>
      <c r="AI53" t="s">
        <v>707</v>
      </c>
      <c r="AJ53" t="s">
        <v>707</v>
      </c>
      <c r="AL53" t="s">
        <v>707</v>
      </c>
      <c r="AO53" t="s">
        <v>2949</v>
      </c>
      <c r="AQ53" s="24">
        <v>46084.523101851853</v>
      </c>
    </row>
    <row r="54" spans="2:43" x14ac:dyDescent="0.25">
      <c r="B54">
        <v>51</v>
      </c>
      <c r="C54">
        <v>3</v>
      </c>
      <c r="D54" s="21">
        <v>46087.40625</v>
      </c>
      <c r="E54">
        <v>97</v>
      </c>
      <c r="F54" t="s">
        <v>707</v>
      </c>
      <c r="G54">
        <v>73447213994</v>
      </c>
      <c r="H54" t="s">
        <v>1417</v>
      </c>
      <c r="I54" s="5">
        <v>36</v>
      </c>
      <c r="J54" t="s">
        <v>1105</v>
      </c>
      <c r="K54" s="18">
        <v>42384</v>
      </c>
      <c r="L54" t="s">
        <v>1418</v>
      </c>
      <c r="M54" t="s">
        <v>1419</v>
      </c>
      <c r="N54">
        <v>36205645856</v>
      </c>
      <c r="O54" t="s">
        <v>1420</v>
      </c>
      <c r="P54" t="s">
        <v>1421</v>
      </c>
      <c r="Q54" t="s">
        <v>1420</v>
      </c>
      <c r="R54" s="34" t="s">
        <v>1120</v>
      </c>
      <c r="S54" t="s">
        <v>231</v>
      </c>
      <c r="T54" t="s">
        <v>232</v>
      </c>
      <c r="U54" t="s">
        <v>233</v>
      </c>
      <c r="V54">
        <v>43</v>
      </c>
      <c r="W54">
        <v>35</v>
      </c>
      <c r="X54" s="5">
        <v>78</v>
      </c>
      <c r="Y54" s="5">
        <v>97.5</v>
      </c>
      <c r="Z54" s="33">
        <v>25</v>
      </c>
      <c r="AA54" s="5">
        <v>122.5</v>
      </c>
      <c r="AB54" s="9">
        <v>158.5</v>
      </c>
      <c r="AI54" t="s">
        <v>707</v>
      </c>
      <c r="AJ54" t="s">
        <v>707</v>
      </c>
      <c r="AO54" t="s">
        <v>2950</v>
      </c>
      <c r="AQ54" s="24">
        <v>46084.523136574076</v>
      </c>
    </row>
    <row r="55" spans="2:43" x14ac:dyDescent="0.25">
      <c r="B55">
        <v>52</v>
      </c>
      <c r="C55">
        <v>3</v>
      </c>
      <c r="D55" s="21">
        <v>46087.40625</v>
      </c>
      <c r="E55" s="31">
        <v>34</v>
      </c>
      <c r="F55" t="s">
        <v>707</v>
      </c>
      <c r="G55">
        <v>73372004612</v>
      </c>
      <c r="H55" t="s">
        <v>1422</v>
      </c>
      <c r="I55" s="5">
        <v>45</v>
      </c>
      <c r="J55" t="s">
        <v>1097</v>
      </c>
      <c r="K55" s="18">
        <v>42179</v>
      </c>
      <c r="L55" t="s">
        <v>1423</v>
      </c>
      <c r="M55" t="s">
        <v>1424</v>
      </c>
      <c r="N55">
        <v>36308456938</v>
      </c>
      <c r="O55" t="s">
        <v>1425</v>
      </c>
      <c r="P55" t="s">
        <v>1426</v>
      </c>
      <c r="Q55" t="s">
        <v>1425</v>
      </c>
      <c r="R55" s="34"/>
      <c r="V55">
        <v>45</v>
      </c>
      <c r="W55">
        <v>37</v>
      </c>
      <c r="X55" s="5">
        <v>82</v>
      </c>
      <c r="Y55" s="5">
        <v>102.5</v>
      </c>
      <c r="Z55" s="33">
        <v>25</v>
      </c>
      <c r="AA55" s="5">
        <v>127.5</v>
      </c>
      <c r="AB55" s="9">
        <v>172.5</v>
      </c>
      <c r="AI55" t="s">
        <v>707</v>
      </c>
      <c r="AJ55" t="s">
        <v>707</v>
      </c>
      <c r="AK55" t="s">
        <v>707</v>
      </c>
      <c r="AL55" t="s">
        <v>707</v>
      </c>
      <c r="AO55" t="s">
        <v>2951</v>
      </c>
      <c r="AQ55" s="24">
        <v>46084.523136574076</v>
      </c>
    </row>
    <row r="56" spans="2:43" x14ac:dyDescent="0.25">
      <c r="B56">
        <v>53</v>
      </c>
      <c r="C56">
        <v>3</v>
      </c>
      <c r="D56" s="21">
        <v>46087.40625</v>
      </c>
      <c r="E56" s="31">
        <v>19</v>
      </c>
      <c r="F56" t="s">
        <v>707</v>
      </c>
      <c r="G56">
        <v>73354025937</v>
      </c>
      <c r="H56" t="s">
        <v>1427</v>
      </c>
      <c r="I56" s="5">
        <v>44</v>
      </c>
      <c r="J56" t="s">
        <v>1102</v>
      </c>
      <c r="K56" s="18">
        <v>42177</v>
      </c>
      <c r="L56" t="s">
        <v>1428</v>
      </c>
      <c r="M56" t="s">
        <v>1429</v>
      </c>
      <c r="N56">
        <v>36205204774</v>
      </c>
      <c r="O56" t="s">
        <v>1430</v>
      </c>
      <c r="P56" t="s">
        <v>1428</v>
      </c>
      <c r="Q56" t="s">
        <v>1430</v>
      </c>
      <c r="R56" s="34" t="s">
        <v>2384</v>
      </c>
      <c r="S56" t="s">
        <v>293</v>
      </c>
      <c r="T56" t="s">
        <v>294</v>
      </c>
      <c r="U56" t="s">
        <v>295</v>
      </c>
      <c r="V56">
        <v>45</v>
      </c>
      <c r="W56">
        <v>40</v>
      </c>
      <c r="X56" s="5">
        <v>85</v>
      </c>
      <c r="Y56" s="5">
        <v>106.25</v>
      </c>
      <c r="Z56" s="33">
        <v>25</v>
      </c>
      <c r="AA56" s="5">
        <v>131.25</v>
      </c>
      <c r="AB56" s="9">
        <v>175.25</v>
      </c>
      <c r="AD56" t="s">
        <v>707</v>
      </c>
      <c r="AI56" t="s">
        <v>707</v>
      </c>
      <c r="AJ56" t="s">
        <v>707</v>
      </c>
      <c r="AK56" t="s">
        <v>707</v>
      </c>
      <c r="AO56" t="s">
        <v>2952</v>
      </c>
      <c r="AQ56" s="24">
        <v>46084.523136574076</v>
      </c>
    </row>
    <row r="57" spans="2:43" x14ac:dyDescent="0.25">
      <c r="B57">
        <v>54</v>
      </c>
      <c r="C57">
        <v>3</v>
      </c>
      <c r="D57" s="21">
        <v>46087.40625</v>
      </c>
      <c r="E57">
        <v>143</v>
      </c>
      <c r="F57" t="s">
        <v>707</v>
      </c>
      <c r="G57">
        <v>73412529905</v>
      </c>
      <c r="H57" t="s">
        <v>1431</v>
      </c>
      <c r="I57" s="5">
        <v>26</v>
      </c>
      <c r="J57" t="s">
        <v>1097</v>
      </c>
      <c r="K57" s="18">
        <v>42291</v>
      </c>
      <c r="L57" t="s">
        <v>1432</v>
      </c>
      <c r="M57" t="s">
        <v>1433</v>
      </c>
      <c r="N57">
        <v>36307306377</v>
      </c>
      <c r="O57" t="s">
        <v>1434</v>
      </c>
      <c r="P57" t="s">
        <v>1432</v>
      </c>
      <c r="Q57" t="s">
        <v>1434</v>
      </c>
      <c r="R57" s="34" t="s">
        <v>2833</v>
      </c>
      <c r="S57" t="s">
        <v>1241</v>
      </c>
      <c r="T57" t="s">
        <v>2829</v>
      </c>
      <c r="U57" t="s">
        <v>2830</v>
      </c>
      <c r="V57">
        <v>40</v>
      </c>
      <c r="W57">
        <v>39</v>
      </c>
      <c r="X57" s="5">
        <v>79</v>
      </c>
      <c r="Y57" s="5">
        <v>98.75</v>
      </c>
      <c r="Z57" s="33">
        <v>25</v>
      </c>
      <c r="AA57" s="5">
        <v>123.75</v>
      </c>
      <c r="AB57" s="9">
        <v>149.75</v>
      </c>
      <c r="AI57" t="s">
        <v>707</v>
      </c>
      <c r="AJ57" t="s">
        <v>707</v>
      </c>
      <c r="AK57" t="s">
        <v>707</v>
      </c>
      <c r="AL57" t="s">
        <v>707</v>
      </c>
      <c r="AO57" t="s">
        <v>2953</v>
      </c>
      <c r="AQ57" s="24">
        <v>46084.523136574076</v>
      </c>
    </row>
    <row r="58" spans="2:43" x14ac:dyDescent="0.25">
      <c r="B58">
        <v>55</v>
      </c>
      <c r="C58">
        <v>5</v>
      </c>
      <c r="D58" s="21">
        <v>46087.40625</v>
      </c>
      <c r="E58">
        <v>114</v>
      </c>
      <c r="F58" t="s">
        <v>707</v>
      </c>
      <c r="G58">
        <v>73368509075</v>
      </c>
      <c r="H58" t="s">
        <v>1435</v>
      </c>
      <c r="I58" s="5">
        <v>35</v>
      </c>
      <c r="J58" t="s">
        <v>1097</v>
      </c>
      <c r="K58" s="18">
        <v>42272</v>
      </c>
      <c r="L58" t="s">
        <v>1436</v>
      </c>
      <c r="M58" s="3" t="s">
        <v>2418</v>
      </c>
      <c r="N58">
        <v>36706155955</v>
      </c>
      <c r="O58" t="s">
        <v>1437</v>
      </c>
      <c r="P58" t="s">
        <v>1438</v>
      </c>
      <c r="Q58" t="s">
        <v>1437</v>
      </c>
      <c r="R58" s="34"/>
      <c r="V58">
        <v>37</v>
      </c>
      <c r="W58">
        <v>39</v>
      </c>
      <c r="X58" s="5">
        <v>76</v>
      </c>
      <c r="Y58" s="5">
        <v>95</v>
      </c>
      <c r="Z58" s="33">
        <v>25</v>
      </c>
      <c r="AA58" s="5">
        <v>120</v>
      </c>
      <c r="AB58" s="9">
        <v>155</v>
      </c>
      <c r="AI58" t="s">
        <v>707</v>
      </c>
      <c r="AJ58" t="s">
        <v>707</v>
      </c>
      <c r="AO58" t="s">
        <v>2954</v>
      </c>
      <c r="AQ58" s="24">
        <v>46084.523159722223</v>
      </c>
    </row>
    <row r="59" spans="2:43" x14ac:dyDescent="0.25">
      <c r="B59">
        <v>56</v>
      </c>
      <c r="C59">
        <v>4</v>
      </c>
      <c r="D59" s="21">
        <v>46087.40625</v>
      </c>
      <c r="E59">
        <v>209</v>
      </c>
      <c r="F59" t="s">
        <v>707</v>
      </c>
      <c r="G59">
        <v>73368535781</v>
      </c>
      <c r="H59" t="s">
        <v>1439</v>
      </c>
      <c r="I59" s="5">
        <v>10</v>
      </c>
      <c r="J59" t="s">
        <v>1097</v>
      </c>
      <c r="K59" s="18">
        <v>42272</v>
      </c>
      <c r="L59" t="s">
        <v>1436</v>
      </c>
      <c r="M59" s="3" t="s">
        <v>2418</v>
      </c>
      <c r="N59">
        <v>36706155955</v>
      </c>
      <c r="O59" t="s">
        <v>1437</v>
      </c>
      <c r="P59" t="s">
        <v>1438</v>
      </c>
      <c r="Q59" t="s">
        <v>1437</v>
      </c>
      <c r="R59" s="34"/>
      <c r="V59">
        <v>43</v>
      </c>
      <c r="W59">
        <v>35</v>
      </c>
      <c r="X59" s="5">
        <v>78</v>
      </c>
      <c r="Y59" s="5">
        <v>97.5</v>
      </c>
      <c r="Z59" s="33">
        <v>25</v>
      </c>
      <c r="AA59" s="5">
        <v>122.5</v>
      </c>
      <c r="AB59" s="9">
        <v>132.5</v>
      </c>
      <c r="AI59" t="s">
        <v>707</v>
      </c>
      <c r="AJ59" t="s">
        <v>707</v>
      </c>
      <c r="AO59" t="s">
        <v>2954</v>
      </c>
      <c r="AQ59" s="24">
        <v>46084.5231712963</v>
      </c>
    </row>
    <row r="60" spans="2:43" x14ac:dyDescent="0.25">
      <c r="B60">
        <v>57</v>
      </c>
      <c r="C60">
        <v>4</v>
      </c>
      <c r="D60" s="21">
        <v>46087.40625</v>
      </c>
      <c r="E60">
        <v>175</v>
      </c>
      <c r="F60" t="s">
        <v>707</v>
      </c>
      <c r="G60">
        <v>73385741569</v>
      </c>
      <c r="H60" t="s">
        <v>1440</v>
      </c>
      <c r="I60" s="5">
        <v>28</v>
      </c>
      <c r="J60" t="s">
        <v>1097</v>
      </c>
      <c r="K60" s="18">
        <v>42248</v>
      </c>
      <c r="L60" t="s">
        <v>1441</v>
      </c>
      <c r="M60" t="s">
        <v>1442</v>
      </c>
      <c r="N60">
        <v>36303424826</v>
      </c>
      <c r="O60" t="s">
        <v>1443</v>
      </c>
      <c r="P60" t="s">
        <v>1441</v>
      </c>
      <c r="Q60" t="s">
        <v>1443</v>
      </c>
      <c r="R60" s="34"/>
      <c r="V60">
        <v>37</v>
      </c>
      <c r="W60">
        <v>34</v>
      </c>
      <c r="X60" s="5">
        <v>71</v>
      </c>
      <c r="Y60" s="5">
        <v>88.75</v>
      </c>
      <c r="Z60" s="33">
        <v>24.54</v>
      </c>
      <c r="AA60" s="5">
        <v>113.29</v>
      </c>
      <c r="AB60" s="9">
        <v>141.29</v>
      </c>
      <c r="AI60" t="s">
        <v>707</v>
      </c>
      <c r="AJ60" t="s">
        <v>707</v>
      </c>
      <c r="AL60" t="s">
        <v>707</v>
      </c>
      <c r="AO60" t="s">
        <v>2955</v>
      </c>
      <c r="AQ60" s="24">
        <v>46084.523182870369</v>
      </c>
    </row>
    <row r="61" spans="2:43" x14ac:dyDescent="0.25">
      <c r="B61">
        <v>222</v>
      </c>
      <c r="C61">
        <v>1</v>
      </c>
      <c r="D61" s="21">
        <v>46097.604166666664</v>
      </c>
      <c r="E61">
        <v>238</v>
      </c>
      <c r="F61" t="s">
        <v>707</v>
      </c>
      <c r="G61">
        <v>73403949802</v>
      </c>
      <c r="H61" t="s">
        <v>1444</v>
      </c>
      <c r="I61" s="5">
        <v>12</v>
      </c>
      <c r="J61" t="s">
        <v>1101</v>
      </c>
      <c r="K61" s="18">
        <v>42367</v>
      </c>
      <c r="L61" t="s">
        <v>1445</v>
      </c>
      <c r="M61" t="s">
        <v>1446</v>
      </c>
      <c r="N61">
        <v>36206652802</v>
      </c>
      <c r="O61" t="s">
        <v>1447</v>
      </c>
      <c r="P61" t="s">
        <v>1448</v>
      </c>
      <c r="Q61" t="s">
        <v>1449</v>
      </c>
      <c r="R61" s="34"/>
      <c r="V61">
        <v>31</v>
      </c>
      <c r="W61">
        <v>26</v>
      </c>
      <c r="X61" s="5">
        <v>57</v>
      </c>
      <c r="Y61" s="5">
        <v>71.25</v>
      </c>
      <c r="Z61" s="33">
        <v>23.5</v>
      </c>
      <c r="AA61" s="5">
        <v>94.75</v>
      </c>
      <c r="AB61" s="9">
        <v>106.75</v>
      </c>
      <c r="AI61" t="s">
        <v>707</v>
      </c>
      <c r="AJ61" t="s">
        <v>707</v>
      </c>
      <c r="AK61" t="s">
        <v>707</v>
      </c>
      <c r="AL61" t="s">
        <v>707</v>
      </c>
      <c r="AO61" t="s">
        <v>2956</v>
      </c>
      <c r="AQ61" s="24">
        <v>46084.523194444446</v>
      </c>
    </row>
    <row r="62" spans="2:43" x14ac:dyDescent="0.25">
      <c r="B62">
        <v>191</v>
      </c>
      <c r="C62">
        <v>1</v>
      </c>
      <c r="D62" s="21">
        <v>46098.604166666664</v>
      </c>
      <c r="E62" s="31">
        <v>6</v>
      </c>
      <c r="F62" t="s">
        <v>707</v>
      </c>
      <c r="G62">
        <v>73461421048</v>
      </c>
      <c r="H62" t="s">
        <v>1450</v>
      </c>
      <c r="I62" s="5">
        <v>42</v>
      </c>
      <c r="J62" t="s">
        <v>1101</v>
      </c>
      <c r="K62" s="18">
        <v>42348</v>
      </c>
      <c r="L62" t="s">
        <v>1451</v>
      </c>
      <c r="M62" t="s">
        <v>2432</v>
      </c>
      <c r="N62">
        <v>36304304694</v>
      </c>
      <c r="O62" t="s">
        <v>1452</v>
      </c>
      <c r="P62" t="s">
        <v>1451</v>
      </c>
      <c r="Q62" t="s">
        <v>1452</v>
      </c>
      <c r="R62" s="34"/>
      <c r="V62">
        <v>47</v>
      </c>
      <c r="W62">
        <v>45</v>
      </c>
      <c r="X62" s="5">
        <v>92</v>
      </c>
      <c r="Y62" s="5">
        <v>115</v>
      </c>
      <c r="Z62" s="33">
        <v>25</v>
      </c>
      <c r="AA62" s="5">
        <v>140</v>
      </c>
      <c r="AB62" s="9">
        <v>182</v>
      </c>
      <c r="AI62" t="s">
        <v>707</v>
      </c>
      <c r="AJ62" t="s">
        <v>707</v>
      </c>
      <c r="AK62" t="s">
        <v>707</v>
      </c>
      <c r="AL62" t="s">
        <v>707</v>
      </c>
      <c r="AO62" t="s">
        <v>2957</v>
      </c>
      <c r="AQ62" s="24">
        <v>46084.523043981484</v>
      </c>
    </row>
    <row r="63" spans="2:43" x14ac:dyDescent="0.25">
      <c r="B63">
        <v>58</v>
      </c>
      <c r="C63">
        <v>4</v>
      </c>
      <c r="D63" s="21">
        <v>46087.40625</v>
      </c>
      <c r="E63">
        <v>235</v>
      </c>
      <c r="F63" t="s">
        <v>707</v>
      </c>
      <c r="G63">
        <v>73464787700</v>
      </c>
      <c r="H63" t="s">
        <v>1453</v>
      </c>
      <c r="I63" s="5">
        <v>17</v>
      </c>
      <c r="J63" t="s">
        <v>1098</v>
      </c>
      <c r="K63" s="18">
        <v>42424</v>
      </c>
      <c r="L63" t="s">
        <v>1454</v>
      </c>
      <c r="M63" t="s">
        <v>1455</v>
      </c>
      <c r="N63">
        <v>36202565587</v>
      </c>
      <c r="O63" t="s">
        <v>1456</v>
      </c>
      <c r="P63" t="s">
        <v>1457</v>
      </c>
      <c r="Q63" t="s">
        <v>1458</v>
      </c>
      <c r="R63" s="34" t="s">
        <v>2385</v>
      </c>
      <c r="S63" t="s">
        <v>125</v>
      </c>
      <c r="T63" t="s">
        <v>126</v>
      </c>
      <c r="U63" t="s">
        <v>127</v>
      </c>
      <c r="V63">
        <v>28</v>
      </c>
      <c r="W63">
        <v>28</v>
      </c>
      <c r="X63" s="5">
        <v>56</v>
      </c>
      <c r="Y63" s="5">
        <v>70</v>
      </c>
      <c r="Z63" s="33">
        <v>23</v>
      </c>
      <c r="AA63" s="5">
        <v>93</v>
      </c>
      <c r="AB63" s="9">
        <v>110</v>
      </c>
      <c r="AK63" t="s">
        <v>707</v>
      </c>
      <c r="AL63" t="s">
        <v>707</v>
      </c>
      <c r="AO63" t="s">
        <v>2958</v>
      </c>
      <c r="AQ63" s="24">
        <v>46084.523182870369</v>
      </c>
    </row>
    <row r="64" spans="2:43" x14ac:dyDescent="0.25">
      <c r="B64">
        <v>59</v>
      </c>
      <c r="C64">
        <v>1</v>
      </c>
      <c r="D64" s="21">
        <v>46099.604166666664</v>
      </c>
      <c r="E64" s="31">
        <v>20</v>
      </c>
      <c r="F64" t="s">
        <v>707</v>
      </c>
      <c r="G64">
        <v>73447183966</v>
      </c>
      <c r="H64" t="s">
        <v>1459</v>
      </c>
      <c r="I64" s="5">
        <v>44</v>
      </c>
      <c r="J64" t="s">
        <v>1097</v>
      </c>
      <c r="K64" s="18">
        <v>42358</v>
      </c>
      <c r="L64" t="s">
        <v>1460</v>
      </c>
      <c r="M64" t="s">
        <v>1461</v>
      </c>
      <c r="N64">
        <v>36704238297</v>
      </c>
      <c r="O64" t="s">
        <v>1462</v>
      </c>
      <c r="P64" t="s">
        <v>1463</v>
      </c>
      <c r="Q64" t="s">
        <v>1462</v>
      </c>
      <c r="R64" s="34"/>
      <c r="V64">
        <v>45</v>
      </c>
      <c r="W64">
        <v>40</v>
      </c>
      <c r="X64" s="5">
        <v>85</v>
      </c>
      <c r="Y64" s="5">
        <v>106.25</v>
      </c>
      <c r="Z64" s="33">
        <v>25</v>
      </c>
      <c r="AA64" s="5">
        <v>131.25</v>
      </c>
      <c r="AB64" s="9">
        <v>175.25</v>
      </c>
      <c r="AI64" t="s">
        <v>707</v>
      </c>
      <c r="AJ64" t="s">
        <v>707</v>
      </c>
      <c r="AK64" t="s">
        <v>707</v>
      </c>
      <c r="AL64" t="s">
        <v>707</v>
      </c>
      <c r="AO64" t="s">
        <v>2959</v>
      </c>
      <c r="AQ64" s="24">
        <v>46097.359074074076</v>
      </c>
    </row>
    <row r="65" spans="2:43" x14ac:dyDescent="0.25">
      <c r="B65">
        <v>60</v>
      </c>
      <c r="C65">
        <v>5</v>
      </c>
      <c r="D65" s="21">
        <v>46087.40625</v>
      </c>
      <c r="E65" s="31">
        <v>74</v>
      </c>
      <c r="F65" t="s">
        <v>707</v>
      </c>
      <c r="G65">
        <v>73391114976</v>
      </c>
      <c r="H65" t="s">
        <v>795</v>
      </c>
      <c r="I65" s="5">
        <v>43</v>
      </c>
      <c r="J65" t="s">
        <v>1101</v>
      </c>
      <c r="K65" s="18">
        <v>41948</v>
      </c>
      <c r="L65" t="s">
        <v>1464</v>
      </c>
      <c r="M65" t="s">
        <v>1465</v>
      </c>
      <c r="N65">
        <v>36703303041</v>
      </c>
      <c r="O65" t="s">
        <v>1466</v>
      </c>
      <c r="P65" t="s">
        <v>1467</v>
      </c>
      <c r="Q65" t="s">
        <v>1466</v>
      </c>
      <c r="R65" s="34"/>
      <c r="V65">
        <v>38</v>
      </c>
      <c r="W65">
        <v>39</v>
      </c>
      <c r="X65" s="5">
        <v>77</v>
      </c>
      <c r="Y65" s="5">
        <v>96.25</v>
      </c>
      <c r="Z65" s="33">
        <v>24.55</v>
      </c>
      <c r="AA65" s="5">
        <v>120.8</v>
      </c>
      <c r="AB65" s="9">
        <v>163.80000000000001</v>
      </c>
      <c r="AI65" t="s">
        <v>707</v>
      </c>
      <c r="AJ65" t="s">
        <v>707</v>
      </c>
      <c r="AK65" t="s">
        <v>707</v>
      </c>
      <c r="AL65" t="s">
        <v>707</v>
      </c>
      <c r="AO65" t="s">
        <v>2960</v>
      </c>
      <c r="AQ65" s="24">
        <v>46084.523159722223</v>
      </c>
    </row>
    <row r="66" spans="2:43" x14ac:dyDescent="0.25">
      <c r="B66">
        <v>61</v>
      </c>
      <c r="C66">
        <v>6</v>
      </c>
      <c r="D66" s="21">
        <v>46087.40625</v>
      </c>
      <c r="E66">
        <v>109</v>
      </c>
      <c r="F66" t="s">
        <v>707</v>
      </c>
      <c r="G66">
        <v>73433360067</v>
      </c>
      <c r="H66" t="s">
        <v>1468</v>
      </c>
      <c r="I66" s="5">
        <v>43</v>
      </c>
      <c r="J66" t="s">
        <v>1101</v>
      </c>
      <c r="K66" s="18">
        <v>42263</v>
      </c>
      <c r="L66" t="s">
        <v>1469</v>
      </c>
      <c r="M66" t="s">
        <v>1470</v>
      </c>
      <c r="N66">
        <v>36704232499</v>
      </c>
      <c r="O66" t="s">
        <v>1471</v>
      </c>
      <c r="P66" t="s">
        <v>1469</v>
      </c>
      <c r="Q66" t="s">
        <v>1472</v>
      </c>
      <c r="R66" s="34"/>
      <c r="V66">
        <v>38</v>
      </c>
      <c r="W66">
        <v>32</v>
      </c>
      <c r="X66" s="5">
        <v>70</v>
      </c>
      <c r="Y66" s="5">
        <v>87.5</v>
      </c>
      <c r="Z66" s="33">
        <v>25</v>
      </c>
      <c r="AA66" s="5">
        <v>112.5</v>
      </c>
      <c r="AB66" s="9">
        <v>155.5</v>
      </c>
      <c r="AD66" t="s">
        <v>707</v>
      </c>
      <c r="AI66" t="s">
        <v>707</v>
      </c>
      <c r="AJ66" t="s">
        <v>707</v>
      </c>
      <c r="AK66" t="s">
        <v>707</v>
      </c>
      <c r="AO66" t="s">
        <v>2961</v>
      </c>
      <c r="AQ66" s="24">
        <v>46084.523217592592</v>
      </c>
    </row>
    <row r="67" spans="2:43" x14ac:dyDescent="0.25">
      <c r="B67">
        <v>62</v>
      </c>
      <c r="C67">
        <v>5</v>
      </c>
      <c r="D67" s="21">
        <v>46087.40625</v>
      </c>
      <c r="E67" s="31">
        <v>36</v>
      </c>
      <c r="F67" t="s">
        <v>707</v>
      </c>
      <c r="G67">
        <v>73373569996</v>
      </c>
      <c r="H67" t="s">
        <v>1473</v>
      </c>
      <c r="I67" s="5">
        <v>45</v>
      </c>
      <c r="J67" t="s">
        <v>1096</v>
      </c>
      <c r="K67" s="18">
        <v>42240</v>
      </c>
      <c r="L67" t="s">
        <v>1474</v>
      </c>
      <c r="M67" t="s">
        <v>1475</v>
      </c>
      <c r="N67">
        <v>36303858368</v>
      </c>
      <c r="O67" t="s">
        <v>1476</v>
      </c>
      <c r="P67" t="s">
        <v>1477</v>
      </c>
      <c r="Q67" t="s">
        <v>1476</v>
      </c>
      <c r="R67" s="34" t="s">
        <v>2378</v>
      </c>
      <c r="S67" t="s">
        <v>617</v>
      </c>
      <c r="T67" t="s">
        <v>618</v>
      </c>
      <c r="U67" t="s">
        <v>619</v>
      </c>
      <c r="V67">
        <v>41</v>
      </c>
      <c r="W67">
        <v>41</v>
      </c>
      <c r="X67" s="5">
        <v>82</v>
      </c>
      <c r="Y67" s="5">
        <v>102.5</v>
      </c>
      <c r="Z67" s="33">
        <v>25</v>
      </c>
      <c r="AA67" s="5">
        <v>127.5</v>
      </c>
      <c r="AB67" s="9">
        <v>172.5</v>
      </c>
      <c r="AI67" t="s">
        <v>707</v>
      </c>
      <c r="AJ67" t="s">
        <v>707</v>
      </c>
      <c r="AK67" t="s">
        <v>707</v>
      </c>
      <c r="AL67" t="s">
        <v>707</v>
      </c>
      <c r="AO67" t="s">
        <v>2962</v>
      </c>
      <c r="AQ67" s="24">
        <v>46084.523159722223</v>
      </c>
    </row>
    <row r="68" spans="2:43" x14ac:dyDescent="0.25">
      <c r="B68">
        <v>63</v>
      </c>
      <c r="C68">
        <v>6</v>
      </c>
      <c r="D68" s="21">
        <v>46087.40625</v>
      </c>
      <c r="E68" s="31">
        <v>75</v>
      </c>
      <c r="F68" t="s">
        <v>707</v>
      </c>
      <c r="G68">
        <v>73424035434</v>
      </c>
      <c r="H68" t="s">
        <v>1478</v>
      </c>
      <c r="I68" s="5">
        <v>35</v>
      </c>
      <c r="J68" t="s">
        <v>1100</v>
      </c>
      <c r="K68" s="18">
        <v>42304</v>
      </c>
      <c r="L68" t="s">
        <v>1479</v>
      </c>
      <c r="M68" t="s">
        <v>1480</v>
      </c>
      <c r="N68">
        <v>36205307725</v>
      </c>
      <c r="O68" t="s">
        <v>1481</v>
      </c>
      <c r="P68" t="s">
        <v>1482</v>
      </c>
      <c r="Q68" t="s">
        <v>1481</v>
      </c>
      <c r="R68" s="34"/>
      <c r="V68">
        <v>42</v>
      </c>
      <c r="W68">
        <v>41</v>
      </c>
      <c r="X68" s="5">
        <v>83</v>
      </c>
      <c r="Y68" s="5">
        <v>103.75</v>
      </c>
      <c r="Z68" s="33">
        <v>25</v>
      </c>
      <c r="AA68" s="5">
        <v>128.75</v>
      </c>
      <c r="AB68" s="9">
        <v>163.75</v>
      </c>
      <c r="AI68" t="s">
        <v>707</v>
      </c>
      <c r="AJ68" t="s">
        <v>707</v>
      </c>
      <c r="AK68" t="s">
        <v>707</v>
      </c>
      <c r="AL68" t="s">
        <v>707</v>
      </c>
      <c r="AO68" t="s">
        <v>2963</v>
      </c>
      <c r="AQ68" s="24">
        <v>46084.523217592592</v>
      </c>
    </row>
    <row r="69" spans="2:43" x14ac:dyDescent="0.25">
      <c r="B69">
        <v>64</v>
      </c>
      <c r="C69">
        <v>6</v>
      </c>
      <c r="D69" s="21">
        <v>46087.40625</v>
      </c>
      <c r="E69">
        <v>176</v>
      </c>
      <c r="F69" t="s">
        <v>707</v>
      </c>
      <c r="G69">
        <v>73447694831</v>
      </c>
      <c r="H69" t="s">
        <v>1483</v>
      </c>
      <c r="I69" s="5">
        <v>46</v>
      </c>
      <c r="J69" t="s">
        <v>1100</v>
      </c>
      <c r="K69" s="18">
        <v>42454</v>
      </c>
      <c r="L69" t="s">
        <v>1484</v>
      </c>
      <c r="M69" t="s">
        <v>1485</v>
      </c>
      <c r="N69">
        <v>36307583404</v>
      </c>
      <c r="O69" t="s">
        <v>1486</v>
      </c>
      <c r="P69" t="s">
        <v>1487</v>
      </c>
      <c r="Q69" t="s">
        <v>1486</v>
      </c>
      <c r="R69" s="34"/>
      <c r="V69">
        <v>26</v>
      </c>
      <c r="W69">
        <v>31</v>
      </c>
      <c r="X69" s="5">
        <v>57</v>
      </c>
      <c r="Y69" s="5">
        <v>71.25</v>
      </c>
      <c r="Z69" s="33">
        <v>24</v>
      </c>
      <c r="AA69" s="5">
        <v>95.25</v>
      </c>
      <c r="AB69" s="9">
        <v>141.25</v>
      </c>
      <c r="AI69" t="s">
        <v>707</v>
      </c>
      <c r="AJ69" t="s">
        <v>707</v>
      </c>
      <c r="AK69" t="s">
        <v>707</v>
      </c>
      <c r="AL69" t="s">
        <v>707</v>
      </c>
      <c r="AO69" t="s">
        <v>2964</v>
      </c>
      <c r="AQ69" s="24">
        <v>46084.523217592592</v>
      </c>
    </row>
    <row r="70" spans="2:43" x14ac:dyDescent="0.25">
      <c r="B70">
        <v>65</v>
      </c>
      <c r="C70">
        <v>6</v>
      </c>
      <c r="D70" s="21">
        <v>46087.40625</v>
      </c>
      <c r="E70">
        <v>157</v>
      </c>
      <c r="F70" t="s">
        <v>707</v>
      </c>
      <c r="G70">
        <v>73443399163</v>
      </c>
      <c r="H70" t="s">
        <v>1488</v>
      </c>
      <c r="I70" s="5">
        <v>32</v>
      </c>
      <c r="J70" t="s">
        <v>1100</v>
      </c>
      <c r="K70" s="18">
        <v>42485</v>
      </c>
      <c r="L70" t="s">
        <v>1489</v>
      </c>
      <c r="M70" t="s">
        <v>1490</v>
      </c>
      <c r="N70">
        <v>36306900135</v>
      </c>
      <c r="O70" t="s">
        <v>1491</v>
      </c>
      <c r="P70" t="s">
        <v>1492</v>
      </c>
      <c r="Q70" t="s">
        <v>1491</v>
      </c>
      <c r="R70" s="34" t="s">
        <v>1116</v>
      </c>
      <c r="S70" t="s">
        <v>639</v>
      </c>
      <c r="T70" t="s">
        <v>640</v>
      </c>
      <c r="U70" t="s">
        <v>641</v>
      </c>
      <c r="V70">
        <v>40</v>
      </c>
      <c r="W70">
        <v>32</v>
      </c>
      <c r="X70" s="5">
        <v>72</v>
      </c>
      <c r="Y70" s="5">
        <v>90</v>
      </c>
      <c r="Z70" s="33">
        <v>25</v>
      </c>
      <c r="AA70" s="5">
        <v>115</v>
      </c>
      <c r="AB70" s="9">
        <v>147</v>
      </c>
      <c r="AK70" t="s">
        <v>707</v>
      </c>
      <c r="AO70" t="s">
        <v>2965</v>
      </c>
      <c r="AQ70" s="24">
        <v>46084.523217592592</v>
      </c>
    </row>
    <row r="71" spans="2:43" x14ac:dyDescent="0.25">
      <c r="B71">
        <v>66</v>
      </c>
      <c r="C71">
        <v>9</v>
      </c>
      <c r="D71" s="21">
        <v>46087.375</v>
      </c>
      <c r="E71">
        <v>230</v>
      </c>
      <c r="F71" t="s">
        <v>707</v>
      </c>
      <c r="G71">
        <v>73376316180</v>
      </c>
      <c r="H71" t="s">
        <v>1493</v>
      </c>
      <c r="I71" s="5">
        <v>17</v>
      </c>
      <c r="J71" t="s">
        <v>1097</v>
      </c>
      <c r="K71" s="18">
        <v>42164</v>
      </c>
      <c r="L71" t="s">
        <v>1494</v>
      </c>
      <c r="M71" t="s">
        <v>1495</v>
      </c>
      <c r="N71">
        <v>36202542386</v>
      </c>
      <c r="O71" t="s">
        <v>1496</v>
      </c>
      <c r="P71" t="s">
        <v>1494</v>
      </c>
      <c r="Q71" t="s">
        <v>1496</v>
      </c>
      <c r="R71" s="34" t="s">
        <v>2833</v>
      </c>
      <c r="S71" t="s">
        <v>1241</v>
      </c>
      <c r="T71" t="s">
        <v>2829</v>
      </c>
      <c r="U71" t="s">
        <v>2830</v>
      </c>
      <c r="V71">
        <v>29</v>
      </c>
      <c r="W71">
        <v>32</v>
      </c>
      <c r="X71" s="5">
        <v>61</v>
      </c>
      <c r="Y71" s="5">
        <v>76.25</v>
      </c>
      <c r="Z71" s="33">
        <v>25</v>
      </c>
      <c r="AA71" s="5">
        <v>101.25</v>
      </c>
      <c r="AB71" s="9">
        <v>118.25</v>
      </c>
      <c r="AE71" t="s">
        <v>707</v>
      </c>
      <c r="AI71" t="s">
        <v>707</v>
      </c>
      <c r="AJ71" t="s">
        <v>707</v>
      </c>
      <c r="AK71" t="s">
        <v>707</v>
      </c>
      <c r="AL71" t="s">
        <v>707</v>
      </c>
      <c r="AO71" t="s">
        <v>2966</v>
      </c>
      <c r="AQ71" s="24">
        <v>46084.52306712963</v>
      </c>
    </row>
    <row r="72" spans="2:43" x14ac:dyDescent="0.25">
      <c r="B72">
        <v>67</v>
      </c>
      <c r="C72">
        <v>5</v>
      </c>
      <c r="D72" s="21">
        <v>46087.40625</v>
      </c>
      <c r="E72" s="31">
        <v>7</v>
      </c>
      <c r="F72" t="s">
        <v>707</v>
      </c>
      <c r="G72">
        <v>73419768586</v>
      </c>
      <c r="H72" t="s">
        <v>1497</v>
      </c>
      <c r="I72" s="5">
        <v>43</v>
      </c>
      <c r="J72" t="s">
        <v>1103</v>
      </c>
      <c r="K72" s="18">
        <v>42281</v>
      </c>
      <c r="L72" t="s">
        <v>1498</v>
      </c>
      <c r="M72" t="s">
        <v>1499</v>
      </c>
      <c r="N72">
        <v>36204845531</v>
      </c>
      <c r="O72" t="s">
        <v>1500</v>
      </c>
      <c r="P72" t="s">
        <v>1497</v>
      </c>
      <c r="Q72" t="s">
        <v>1500</v>
      </c>
      <c r="R72" s="34" t="s">
        <v>2833</v>
      </c>
      <c r="S72" t="s">
        <v>1241</v>
      </c>
      <c r="T72" t="s">
        <v>2829</v>
      </c>
      <c r="U72" t="s">
        <v>2830</v>
      </c>
      <c r="V72">
        <v>46</v>
      </c>
      <c r="W72">
        <v>45</v>
      </c>
      <c r="X72" s="5">
        <v>91</v>
      </c>
      <c r="Y72" s="5">
        <v>113.75</v>
      </c>
      <c r="Z72" s="33">
        <v>25</v>
      </c>
      <c r="AA72" s="5">
        <v>138.75</v>
      </c>
      <c r="AB72" s="9">
        <v>181.75</v>
      </c>
      <c r="AI72" t="s">
        <v>707</v>
      </c>
      <c r="AJ72" t="s">
        <v>707</v>
      </c>
      <c r="AK72" t="s">
        <v>707</v>
      </c>
      <c r="AL72" t="s">
        <v>707</v>
      </c>
      <c r="AO72" t="s">
        <v>2967</v>
      </c>
      <c r="AQ72" s="24">
        <v>46084.523159722223</v>
      </c>
    </row>
    <row r="73" spans="2:43" x14ac:dyDescent="0.25">
      <c r="B73">
        <v>192</v>
      </c>
      <c r="C73">
        <v>1</v>
      </c>
      <c r="D73" s="21">
        <v>46098.604166666664</v>
      </c>
      <c r="E73">
        <v>194</v>
      </c>
      <c r="F73" t="s">
        <v>707</v>
      </c>
      <c r="G73">
        <v>73389202329</v>
      </c>
      <c r="H73" t="s">
        <v>1501</v>
      </c>
      <c r="I73" s="5">
        <v>0</v>
      </c>
      <c r="J73" t="s">
        <v>1096</v>
      </c>
      <c r="K73" s="18">
        <v>42176</v>
      </c>
      <c r="L73" t="s">
        <v>1502</v>
      </c>
      <c r="M73" t="s">
        <v>2433</v>
      </c>
      <c r="N73">
        <v>36705262937</v>
      </c>
      <c r="O73" t="s">
        <v>1503</v>
      </c>
      <c r="P73" t="s">
        <v>1501</v>
      </c>
      <c r="Q73" t="s">
        <v>1503</v>
      </c>
      <c r="R73" s="34" t="s">
        <v>2386</v>
      </c>
      <c r="S73" t="s">
        <v>145</v>
      </c>
      <c r="T73" t="s">
        <v>146</v>
      </c>
      <c r="U73" t="s">
        <v>147</v>
      </c>
      <c r="V73">
        <v>45</v>
      </c>
      <c r="W73">
        <v>44</v>
      </c>
      <c r="X73" s="5">
        <v>89</v>
      </c>
      <c r="Y73" s="5">
        <v>111.25</v>
      </c>
      <c r="Z73" s="33">
        <v>25</v>
      </c>
      <c r="AA73" s="5">
        <v>136.25</v>
      </c>
      <c r="AB73" s="9">
        <v>136.25</v>
      </c>
      <c r="AI73" t="s">
        <v>707</v>
      </c>
      <c r="AJ73" t="s">
        <v>707</v>
      </c>
      <c r="AO73" t="s">
        <v>2968</v>
      </c>
      <c r="AQ73" s="24">
        <v>46084.523043981484</v>
      </c>
    </row>
    <row r="74" spans="2:43" x14ac:dyDescent="0.25">
      <c r="B74">
        <v>68</v>
      </c>
      <c r="C74">
        <v>7</v>
      </c>
      <c r="D74" s="21">
        <v>46087.40625</v>
      </c>
      <c r="E74" s="31">
        <v>59</v>
      </c>
      <c r="F74" t="s">
        <v>707</v>
      </c>
      <c r="G74">
        <v>73461196991</v>
      </c>
      <c r="H74" t="s">
        <v>1504</v>
      </c>
      <c r="I74" s="5">
        <v>38</v>
      </c>
      <c r="J74" t="s">
        <v>1103</v>
      </c>
      <c r="K74" s="18">
        <v>42555</v>
      </c>
      <c r="L74" t="s">
        <v>1505</v>
      </c>
      <c r="M74" t="s">
        <v>1506</v>
      </c>
      <c r="N74">
        <v>36705345295</v>
      </c>
      <c r="O74" t="s">
        <v>1507</v>
      </c>
      <c r="P74" t="s">
        <v>1508</v>
      </c>
      <c r="Q74" t="s">
        <v>1507</v>
      </c>
      <c r="R74" s="34" t="s">
        <v>2387</v>
      </c>
      <c r="S74" t="s">
        <v>445</v>
      </c>
      <c r="T74" t="s">
        <v>446</v>
      </c>
      <c r="U74" t="s">
        <v>447</v>
      </c>
      <c r="V74">
        <v>43</v>
      </c>
      <c r="W74">
        <v>40</v>
      </c>
      <c r="X74" s="5">
        <v>83</v>
      </c>
      <c r="Y74" s="5">
        <v>103.75</v>
      </c>
      <c r="Z74" s="33">
        <v>25</v>
      </c>
      <c r="AA74" s="5">
        <v>128.75</v>
      </c>
      <c r="AB74" s="9">
        <v>166.75</v>
      </c>
      <c r="AI74" t="s">
        <v>707</v>
      </c>
      <c r="AO74" t="s">
        <v>2969</v>
      </c>
      <c r="AQ74" s="24">
        <v>46084.523229166669</v>
      </c>
    </row>
    <row r="75" spans="2:43" x14ac:dyDescent="0.25">
      <c r="B75">
        <v>69</v>
      </c>
      <c r="C75">
        <v>7</v>
      </c>
      <c r="D75" s="21">
        <v>46087.40625</v>
      </c>
      <c r="E75">
        <v>231</v>
      </c>
      <c r="F75" t="s">
        <v>707</v>
      </c>
      <c r="G75">
        <v>73388477952</v>
      </c>
      <c r="H75" t="s">
        <v>1509</v>
      </c>
      <c r="I75" s="5">
        <v>11</v>
      </c>
      <c r="J75" t="s">
        <v>1098</v>
      </c>
      <c r="K75" s="18">
        <v>42273</v>
      </c>
      <c r="L75" t="s">
        <v>1510</v>
      </c>
      <c r="M75" t="s">
        <v>1511</v>
      </c>
      <c r="N75">
        <v>36302019918</v>
      </c>
      <c r="O75" t="s">
        <v>1512</v>
      </c>
      <c r="P75" t="s">
        <v>1513</v>
      </c>
      <c r="Q75" t="s">
        <v>1512</v>
      </c>
      <c r="R75" s="34"/>
      <c r="V75">
        <v>35</v>
      </c>
      <c r="W75">
        <v>31</v>
      </c>
      <c r="X75" s="5">
        <v>66</v>
      </c>
      <c r="Y75" s="5">
        <v>82.5</v>
      </c>
      <c r="Z75" s="33">
        <v>24.55</v>
      </c>
      <c r="AA75" s="5">
        <v>107.05</v>
      </c>
      <c r="AB75" s="9">
        <v>118.05</v>
      </c>
      <c r="AI75" t="s">
        <v>707</v>
      </c>
      <c r="AJ75" t="s">
        <v>707</v>
      </c>
      <c r="AL75" t="s">
        <v>707</v>
      </c>
      <c r="AO75" t="s">
        <v>2970</v>
      </c>
      <c r="AQ75" s="24">
        <v>46084.523229166669</v>
      </c>
    </row>
    <row r="76" spans="2:43" x14ac:dyDescent="0.25">
      <c r="B76">
        <v>70</v>
      </c>
      <c r="C76">
        <v>1</v>
      </c>
      <c r="D76" s="21">
        <v>46099.635416666664</v>
      </c>
      <c r="E76">
        <v>159</v>
      </c>
      <c r="F76" t="s">
        <v>707</v>
      </c>
      <c r="G76">
        <v>73404935220</v>
      </c>
      <c r="H76" t="s">
        <v>1514</v>
      </c>
      <c r="I76" s="5">
        <v>45</v>
      </c>
      <c r="J76" t="s">
        <v>1096</v>
      </c>
      <c r="K76" s="18">
        <v>42347</v>
      </c>
      <c r="L76" t="s">
        <v>1515</v>
      </c>
      <c r="M76" t="s">
        <v>1516</v>
      </c>
      <c r="N76">
        <v>36306450349</v>
      </c>
      <c r="O76" t="s">
        <v>1517</v>
      </c>
      <c r="P76" t="s">
        <v>1518</v>
      </c>
      <c r="Q76" t="s">
        <v>1517</v>
      </c>
      <c r="R76" s="34" t="s">
        <v>2382</v>
      </c>
      <c r="S76" t="s">
        <v>38</v>
      </c>
      <c r="T76" t="s">
        <v>39</v>
      </c>
      <c r="U76" t="s">
        <v>40</v>
      </c>
      <c r="V76">
        <v>40</v>
      </c>
      <c r="W76">
        <v>23</v>
      </c>
      <c r="X76" s="5">
        <v>63</v>
      </c>
      <c r="Y76" s="5">
        <v>78.75</v>
      </c>
      <c r="Z76" s="33">
        <v>22.27</v>
      </c>
      <c r="AA76" s="5">
        <v>101.02</v>
      </c>
      <c r="AB76" s="9">
        <v>146.02000000000001</v>
      </c>
      <c r="AF76" t="s">
        <v>707</v>
      </c>
      <c r="AK76" t="s">
        <v>707</v>
      </c>
      <c r="AO76" t="s">
        <v>2971</v>
      </c>
      <c r="AQ76" s="24">
        <v>46097.359050925923</v>
      </c>
    </row>
    <row r="77" spans="2:43" x14ac:dyDescent="0.25">
      <c r="E77" s="19">
        <v>247</v>
      </c>
      <c r="G77">
        <v>73440326691</v>
      </c>
      <c r="H77" t="s">
        <v>1519</v>
      </c>
      <c r="I77" s="5">
        <v>0</v>
      </c>
      <c r="J77" t="s">
        <v>1096</v>
      </c>
      <c r="K77" s="18">
        <v>42503</v>
      </c>
      <c r="L77" t="s">
        <v>1520</v>
      </c>
      <c r="M77" t="s">
        <v>1521</v>
      </c>
      <c r="N77">
        <v>36203868910</v>
      </c>
      <c r="O77" t="s">
        <v>1522</v>
      </c>
      <c r="P77" t="s">
        <v>1520</v>
      </c>
      <c r="Q77" t="s">
        <v>1522</v>
      </c>
      <c r="R77" s="34"/>
      <c r="V77">
        <v>27</v>
      </c>
      <c r="W77">
        <v>20</v>
      </c>
      <c r="X77" s="5">
        <v>47</v>
      </c>
      <c r="Y77" s="5">
        <v>58.75</v>
      </c>
      <c r="Z77" s="33">
        <v>22.73</v>
      </c>
      <c r="AA77" s="5">
        <v>81.48</v>
      </c>
      <c r="AB77" s="9">
        <v>81.48</v>
      </c>
      <c r="AI77" t="s">
        <v>707</v>
      </c>
      <c r="AJ77" t="s">
        <v>707</v>
      </c>
      <c r="AK77" t="s">
        <v>707</v>
      </c>
      <c r="AL77" t="s">
        <v>707</v>
      </c>
      <c r="AO77" t="s">
        <v>2972</v>
      </c>
    </row>
    <row r="78" spans="2:43" x14ac:dyDescent="0.25">
      <c r="B78">
        <v>71</v>
      </c>
      <c r="C78">
        <v>8</v>
      </c>
      <c r="D78" s="21">
        <v>46087.40625</v>
      </c>
      <c r="E78" s="31">
        <v>22</v>
      </c>
      <c r="F78" t="s">
        <v>707</v>
      </c>
      <c r="G78">
        <v>73467594637</v>
      </c>
      <c r="H78" t="s">
        <v>1523</v>
      </c>
      <c r="I78" s="5">
        <v>44</v>
      </c>
      <c r="J78" t="s">
        <v>1104</v>
      </c>
      <c r="K78" s="18">
        <v>42462</v>
      </c>
      <c r="L78" t="s">
        <v>1524</v>
      </c>
      <c r="M78" t="s">
        <v>1525</v>
      </c>
      <c r="N78">
        <v>36308223307</v>
      </c>
      <c r="O78" t="s">
        <v>1526</v>
      </c>
      <c r="P78" t="s">
        <v>1523</v>
      </c>
      <c r="Q78" t="s">
        <v>1526</v>
      </c>
      <c r="R78" s="34" t="s">
        <v>1114</v>
      </c>
      <c r="S78" t="s">
        <v>416</v>
      </c>
      <c r="T78" t="s">
        <v>417</v>
      </c>
      <c r="U78" t="s">
        <v>418</v>
      </c>
      <c r="V78">
        <v>44</v>
      </c>
      <c r="W78">
        <v>41</v>
      </c>
      <c r="X78" s="5">
        <v>85</v>
      </c>
      <c r="Y78" s="5">
        <v>106.25</v>
      </c>
      <c r="Z78" s="33">
        <v>25</v>
      </c>
      <c r="AA78" s="5">
        <v>131.25</v>
      </c>
      <c r="AB78" s="9">
        <v>175.25</v>
      </c>
      <c r="AI78" t="s">
        <v>707</v>
      </c>
      <c r="AJ78" t="s">
        <v>707</v>
      </c>
      <c r="AK78" t="s">
        <v>707</v>
      </c>
      <c r="AL78" t="s">
        <v>707</v>
      </c>
      <c r="AO78" t="s">
        <v>2973</v>
      </c>
      <c r="AQ78" s="24">
        <v>46084.523263888892</v>
      </c>
    </row>
    <row r="79" spans="2:43" x14ac:dyDescent="0.25">
      <c r="B79">
        <v>72</v>
      </c>
      <c r="C79">
        <v>8</v>
      </c>
      <c r="D79" s="21">
        <v>46087.40625</v>
      </c>
      <c r="E79">
        <v>162</v>
      </c>
      <c r="F79" t="s">
        <v>707</v>
      </c>
      <c r="G79">
        <v>73519460510</v>
      </c>
      <c r="H79" t="s">
        <v>1527</v>
      </c>
      <c r="I79" s="5">
        <v>25</v>
      </c>
      <c r="J79" t="s">
        <v>1097</v>
      </c>
      <c r="K79" s="18">
        <v>42776</v>
      </c>
      <c r="L79" t="s">
        <v>1528</v>
      </c>
      <c r="M79" t="s">
        <v>1529</v>
      </c>
      <c r="N79">
        <v>36704584083</v>
      </c>
      <c r="O79" t="s">
        <v>1530</v>
      </c>
      <c r="P79" t="s">
        <v>1531</v>
      </c>
      <c r="Q79" t="s">
        <v>1530</v>
      </c>
      <c r="R79" s="34" t="s">
        <v>2388</v>
      </c>
      <c r="S79" t="s">
        <v>229</v>
      </c>
      <c r="T79" t="s">
        <v>230</v>
      </c>
      <c r="U79" t="s">
        <v>147</v>
      </c>
      <c r="V79">
        <v>41</v>
      </c>
      <c r="W79">
        <v>36</v>
      </c>
      <c r="X79" s="5">
        <v>77</v>
      </c>
      <c r="Y79" s="5">
        <v>96.25</v>
      </c>
      <c r="Z79" s="33">
        <v>24.5</v>
      </c>
      <c r="AA79" s="5">
        <v>120.75</v>
      </c>
      <c r="AB79" s="9">
        <v>145.75</v>
      </c>
      <c r="AI79" t="s">
        <v>707</v>
      </c>
      <c r="AJ79" t="s">
        <v>707</v>
      </c>
      <c r="AK79" t="s">
        <v>707</v>
      </c>
      <c r="AL79" t="s">
        <v>707</v>
      </c>
      <c r="AO79" t="s">
        <v>2974</v>
      </c>
      <c r="AQ79" s="24">
        <v>46084.523263888892</v>
      </c>
    </row>
    <row r="80" spans="2:43" x14ac:dyDescent="0.25">
      <c r="B80">
        <v>223</v>
      </c>
      <c r="C80">
        <v>1</v>
      </c>
      <c r="D80" s="21">
        <v>46097.604166666664</v>
      </c>
      <c r="E80">
        <v>142</v>
      </c>
      <c r="F80" t="s">
        <v>707</v>
      </c>
      <c r="G80">
        <v>73448383504</v>
      </c>
      <c r="H80" t="s">
        <v>1532</v>
      </c>
      <c r="I80" s="5">
        <v>35</v>
      </c>
      <c r="J80" t="s">
        <v>1097</v>
      </c>
      <c r="K80" s="18">
        <v>42306</v>
      </c>
      <c r="L80" t="s">
        <v>1533</v>
      </c>
      <c r="M80" t="s">
        <v>1534</v>
      </c>
      <c r="N80">
        <v>36707029901</v>
      </c>
      <c r="O80" t="s">
        <v>1535</v>
      </c>
      <c r="P80" t="s">
        <v>1533</v>
      </c>
      <c r="Q80" t="s">
        <v>1535</v>
      </c>
      <c r="R80" s="34"/>
      <c r="V80">
        <v>36</v>
      </c>
      <c r="W80">
        <v>36</v>
      </c>
      <c r="X80" s="5">
        <v>72</v>
      </c>
      <c r="Y80" s="5">
        <v>90</v>
      </c>
      <c r="Z80" s="33">
        <v>25</v>
      </c>
      <c r="AA80" s="5">
        <v>115</v>
      </c>
      <c r="AB80" s="9">
        <v>150</v>
      </c>
      <c r="AI80" t="s">
        <v>707</v>
      </c>
      <c r="AJ80" t="s">
        <v>707</v>
      </c>
      <c r="AK80" t="s">
        <v>707</v>
      </c>
      <c r="AL80" t="s">
        <v>707</v>
      </c>
      <c r="AO80" t="s">
        <v>2975</v>
      </c>
      <c r="AQ80" s="24">
        <v>46084.523194444446</v>
      </c>
    </row>
    <row r="81" spans="2:43" x14ac:dyDescent="0.25">
      <c r="B81">
        <v>73</v>
      </c>
      <c r="C81">
        <v>8</v>
      </c>
      <c r="D81" s="21">
        <v>46087.40625</v>
      </c>
      <c r="E81">
        <v>225</v>
      </c>
      <c r="F81" t="s">
        <v>707</v>
      </c>
      <c r="G81">
        <v>73409789617</v>
      </c>
      <c r="H81" t="s">
        <v>1536</v>
      </c>
      <c r="I81" s="5">
        <v>17</v>
      </c>
      <c r="J81" t="s">
        <v>1097</v>
      </c>
      <c r="K81" s="18">
        <v>42265</v>
      </c>
      <c r="L81" t="s">
        <v>1537</v>
      </c>
      <c r="M81" t="s">
        <v>1538</v>
      </c>
      <c r="N81">
        <v>36703715013</v>
      </c>
      <c r="O81" t="s">
        <v>1539</v>
      </c>
      <c r="P81" t="s">
        <v>1537</v>
      </c>
      <c r="Q81" t="s">
        <v>1539</v>
      </c>
      <c r="R81" s="34" t="s">
        <v>1112</v>
      </c>
      <c r="S81" t="s">
        <v>44</v>
      </c>
      <c r="T81" t="s">
        <v>45</v>
      </c>
      <c r="U81" t="s">
        <v>46</v>
      </c>
      <c r="V81">
        <v>37</v>
      </c>
      <c r="W81">
        <v>28</v>
      </c>
      <c r="X81" s="5">
        <v>65</v>
      </c>
      <c r="Y81" s="5">
        <v>81.25</v>
      </c>
      <c r="Z81" s="33">
        <v>25</v>
      </c>
      <c r="AA81" s="5">
        <v>106.25</v>
      </c>
      <c r="AB81" s="9">
        <v>123.25</v>
      </c>
      <c r="AI81" t="s">
        <v>707</v>
      </c>
      <c r="AJ81" t="s">
        <v>707</v>
      </c>
      <c r="AO81" t="s">
        <v>2976</v>
      </c>
      <c r="AQ81" s="24">
        <v>46084.523263888892</v>
      </c>
    </row>
    <row r="82" spans="2:43" x14ac:dyDescent="0.25">
      <c r="B82">
        <v>224</v>
      </c>
      <c r="C82">
        <v>1</v>
      </c>
      <c r="D82" s="21">
        <v>46097.604166666664</v>
      </c>
      <c r="E82">
        <v>100</v>
      </c>
      <c r="F82" t="s">
        <v>707</v>
      </c>
      <c r="G82">
        <v>73473220258</v>
      </c>
      <c r="H82" t="s">
        <v>1540</v>
      </c>
      <c r="I82" s="5">
        <v>37</v>
      </c>
      <c r="J82" t="s">
        <v>1102</v>
      </c>
      <c r="K82" s="18">
        <v>42509</v>
      </c>
      <c r="L82" t="s">
        <v>1541</v>
      </c>
      <c r="M82" t="s">
        <v>1542</v>
      </c>
      <c r="N82">
        <v>36304784994</v>
      </c>
      <c r="O82" t="s">
        <v>1543</v>
      </c>
      <c r="P82" t="s">
        <v>1541</v>
      </c>
      <c r="Q82" t="s">
        <v>1543</v>
      </c>
      <c r="R82" s="34"/>
      <c r="V82">
        <v>40</v>
      </c>
      <c r="W82">
        <v>37</v>
      </c>
      <c r="X82" s="5">
        <v>77</v>
      </c>
      <c r="Y82" s="5">
        <v>96.25</v>
      </c>
      <c r="Z82" s="33">
        <v>24.54</v>
      </c>
      <c r="AA82" s="5">
        <v>120.79</v>
      </c>
      <c r="AB82" s="9">
        <v>157.79</v>
      </c>
      <c r="AI82" t="s">
        <v>707</v>
      </c>
      <c r="AJ82" t="s">
        <v>707</v>
      </c>
      <c r="AK82" t="s">
        <v>707</v>
      </c>
      <c r="AL82" t="s">
        <v>707</v>
      </c>
      <c r="AO82" t="s">
        <v>2977</v>
      </c>
      <c r="AQ82" s="24">
        <v>46084.523194444446</v>
      </c>
    </row>
    <row r="83" spans="2:43" x14ac:dyDescent="0.25">
      <c r="B83">
        <v>74</v>
      </c>
      <c r="C83">
        <v>9</v>
      </c>
      <c r="D83" s="21">
        <v>46087.40625</v>
      </c>
      <c r="E83">
        <v>178</v>
      </c>
      <c r="F83" t="s">
        <v>707</v>
      </c>
      <c r="G83">
        <v>73366921134</v>
      </c>
      <c r="H83" t="s">
        <v>1544</v>
      </c>
      <c r="I83" s="5">
        <v>32</v>
      </c>
      <c r="J83" t="s">
        <v>1347</v>
      </c>
      <c r="K83" s="18">
        <v>41895</v>
      </c>
      <c r="L83" t="s">
        <v>1545</v>
      </c>
      <c r="M83" t="s">
        <v>1546</v>
      </c>
      <c r="N83">
        <v>36705236090</v>
      </c>
      <c r="O83" t="s">
        <v>1547</v>
      </c>
      <c r="P83" t="s">
        <v>1545</v>
      </c>
      <c r="Q83" t="s">
        <v>1547</v>
      </c>
      <c r="R83" s="34" t="s">
        <v>1122</v>
      </c>
      <c r="S83" t="s">
        <v>158</v>
      </c>
      <c r="T83" t="s">
        <v>159</v>
      </c>
      <c r="U83" t="s">
        <v>160</v>
      </c>
      <c r="V83">
        <v>36</v>
      </c>
      <c r="W83">
        <v>31</v>
      </c>
      <c r="X83" s="5">
        <v>67</v>
      </c>
      <c r="Y83" s="5">
        <v>83.75</v>
      </c>
      <c r="Z83" s="33">
        <v>24.55</v>
      </c>
      <c r="AA83" s="5">
        <v>108.3</v>
      </c>
      <c r="AB83" s="9">
        <v>140.30000000000001</v>
      </c>
      <c r="AD83" t="s">
        <v>707</v>
      </c>
      <c r="AF83" t="s">
        <v>707</v>
      </c>
      <c r="AI83" t="s">
        <v>707</v>
      </c>
      <c r="AJ83" t="s">
        <v>707</v>
      </c>
      <c r="AK83" t="s">
        <v>707</v>
      </c>
      <c r="AL83" t="s">
        <v>707</v>
      </c>
      <c r="AO83" t="s">
        <v>2978</v>
      </c>
      <c r="AQ83" s="24">
        <v>46084.523275462961</v>
      </c>
    </row>
    <row r="84" spans="2:43" x14ac:dyDescent="0.25">
      <c r="E84" s="19">
        <v>197</v>
      </c>
      <c r="G84">
        <v>73366957487</v>
      </c>
      <c r="H84" t="s">
        <v>1548</v>
      </c>
      <c r="I84" s="5">
        <v>43</v>
      </c>
      <c r="J84" t="s">
        <v>1347</v>
      </c>
      <c r="K84" s="18">
        <v>41895</v>
      </c>
      <c r="L84" t="s">
        <v>1545</v>
      </c>
      <c r="M84" t="s">
        <v>1546</v>
      </c>
      <c r="N84">
        <v>36705236090</v>
      </c>
      <c r="O84" t="s">
        <v>1547</v>
      </c>
      <c r="P84" t="s">
        <v>1549</v>
      </c>
      <c r="Q84" t="s">
        <v>1547</v>
      </c>
      <c r="R84" s="34" t="s">
        <v>1122</v>
      </c>
      <c r="S84" t="s">
        <v>158</v>
      </c>
      <c r="T84" t="s">
        <v>159</v>
      </c>
      <c r="U84" t="s">
        <v>160</v>
      </c>
      <c r="V84">
        <v>34</v>
      </c>
      <c r="W84">
        <v>20</v>
      </c>
      <c r="X84" s="5">
        <v>54</v>
      </c>
      <c r="Y84" s="5">
        <v>67.5</v>
      </c>
      <c r="Z84" s="33">
        <v>25</v>
      </c>
      <c r="AA84" s="5">
        <v>92.5</v>
      </c>
      <c r="AB84" s="9">
        <v>135.5</v>
      </c>
      <c r="AD84" t="s">
        <v>707</v>
      </c>
      <c r="AI84" t="s">
        <v>707</v>
      </c>
      <c r="AJ84" t="s">
        <v>707</v>
      </c>
      <c r="AK84" t="s">
        <v>707</v>
      </c>
      <c r="AL84" t="s">
        <v>707</v>
      </c>
      <c r="AO84" t="s">
        <v>2978</v>
      </c>
    </row>
    <row r="85" spans="2:43" x14ac:dyDescent="0.25">
      <c r="B85">
        <v>75</v>
      </c>
      <c r="C85">
        <v>9</v>
      </c>
      <c r="D85" s="21">
        <v>46087.40625</v>
      </c>
      <c r="E85">
        <v>126</v>
      </c>
      <c r="F85" t="s">
        <v>707</v>
      </c>
      <c r="G85">
        <v>73382858450</v>
      </c>
      <c r="H85" t="s">
        <v>1550</v>
      </c>
      <c r="I85" s="5">
        <v>28</v>
      </c>
      <c r="J85" t="s">
        <v>1098</v>
      </c>
      <c r="K85" s="18">
        <v>42292</v>
      </c>
      <c r="L85" t="s">
        <v>1551</v>
      </c>
      <c r="M85" t="s">
        <v>1552</v>
      </c>
      <c r="N85">
        <v>36309719495</v>
      </c>
      <c r="O85" t="s">
        <v>1553</v>
      </c>
      <c r="P85" t="s">
        <v>1551</v>
      </c>
      <c r="Q85" t="s">
        <v>1553</v>
      </c>
      <c r="R85" s="34" t="s">
        <v>2389</v>
      </c>
      <c r="S85" t="s">
        <v>252</v>
      </c>
      <c r="T85" t="s">
        <v>253</v>
      </c>
      <c r="U85" t="s">
        <v>254</v>
      </c>
      <c r="V85">
        <v>45</v>
      </c>
      <c r="W85">
        <v>35</v>
      </c>
      <c r="X85" s="5">
        <v>80</v>
      </c>
      <c r="Y85" s="5">
        <v>100</v>
      </c>
      <c r="Z85" s="33">
        <v>25</v>
      </c>
      <c r="AA85" s="5">
        <v>125</v>
      </c>
      <c r="AB85" s="9">
        <v>153</v>
      </c>
      <c r="AI85" t="s">
        <v>707</v>
      </c>
      <c r="AJ85" t="s">
        <v>707</v>
      </c>
      <c r="AK85" t="s">
        <v>707</v>
      </c>
      <c r="AL85" t="s">
        <v>707</v>
      </c>
      <c r="AO85" t="s">
        <v>2979</v>
      </c>
      <c r="AQ85" s="24">
        <v>46084.523275462961</v>
      </c>
    </row>
    <row r="86" spans="2:43" x14ac:dyDescent="0.25">
      <c r="B86">
        <v>76</v>
      </c>
      <c r="C86">
        <v>7</v>
      </c>
      <c r="D86" s="21">
        <v>46087.4375</v>
      </c>
      <c r="E86" s="31">
        <v>42</v>
      </c>
      <c r="F86" t="s">
        <v>707</v>
      </c>
      <c r="G86">
        <v>73466292678</v>
      </c>
      <c r="H86" t="s">
        <v>1554</v>
      </c>
      <c r="I86" s="5">
        <v>48</v>
      </c>
      <c r="J86" t="s">
        <v>1555</v>
      </c>
      <c r="K86" s="18">
        <v>42266</v>
      </c>
      <c r="L86" t="s">
        <v>1556</v>
      </c>
      <c r="M86" t="s">
        <v>1557</v>
      </c>
      <c r="N86">
        <v>36302101000</v>
      </c>
      <c r="O86" t="s">
        <v>1558</v>
      </c>
      <c r="P86" t="s">
        <v>1559</v>
      </c>
      <c r="Q86" t="s">
        <v>1558</v>
      </c>
      <c r="R86" s="34" t="s">
        <v>2390</v>
      </c>
      <c r="S86" t="s">
        <v>70</v>
      </c>
      <c r="T86" t="s">
        <v>71</v>
      </c>
      <c r="U86" t="s">
        <v>72</v>
      </c>
      <c r="V86">
        <v>41</v>
      </c>
      <c r="W86">
        <v>38</v>
      </c>
      <c r="X86" s="5">
        <v>79</v>
      </c>
      <c r="Y86" s="5">
        <v>98.75</v>
      </c>
      <c r="Z86" s="33">
        <v>24.09</v>
      </c>
      <c r="AA86" s="5">
        <v>122.84</v>
      </c>
      <c r="AB86" s="9">
        <v>170.84</v>
      </c>
      <c r="AF86" t="s">
        <v>707</v>
      </c>
      <c r="AI86" t="s">
        <v>707</v>
      </c>
      <c r="AJ86" t="s">
        <v>707</v>
      </c>
      <c r="AK86" t="s">
        <v>707</v>
      </c>
      <c r="AL86" t="s">
        <v>707</v>
      </c>
      <c r="AO86" t="s">
        <v>2980</v>
      </c>
      <c r="AQ86" s="24">
        <v>46084.523298611108</v>
      </c>
    </row>
    <row r="87" spans="2:43" x14ac:dyDescent="0.25">
      <c r="B87">
        <v>77</v>
      </c>
      <c r="C87">
        <v>9</v>
      </c>
      <c r="D87" s="21">
        <v>46087.40625</v>
      </c>
      <c r="E87">
        <v>182</v>
      </c>
      <c r="F87" t="s">
        <v>707</v>
      </c>
      <c r="G87">
        <v>73400971532</v>
      </c>
      <c r="H87" t="s">
        <v>1560</v>
      </c>
      <c r="I87" s="5">
        <v>29</v>
      </c>
      <c r="J87" t="s">
        <v>1096</v>
      </c>
      <c r="K87" s="18">
        <v>42337</v>
      </c>
      <c r="L87" t="s">
        <v>1561</v>
      </c>
      <c r="M87" t="s">
        <v>1562</v>
      </c>
      <c r="N87">
        <v>36304272297</v>
      </c>
      <c r="O87" t="s">
        <v>1563</v>
      </c>
      <c r="P87" t="s">
        <v>1560</v>
      </c>
      <c r="Q87" t="s">
        <v>1563</v>
      </c>
      <c r="R87" s="34" t="s">
        <v>1109</v>
      </c>
      <c r="S87" t="s">
        <v>371</v>
      </c>
      <c r="T87" t="s">
        <v>372</v>
      </c>
      <c r="U87" t="s">
        <v>373</v>
      </c>
      <c r="V87">
        <v>38</v>
      </c>
      <c r="W87">
        <v>31</v>
      </c>
      <c r="X87" s="5">
        <v>69</v>
      </c>
      <c r="Y87" s="5">
        <v>86.25</v>
      </c>
      <c r="Z87" s="33">
        <v>24.55</v>
      </c>
      <c r="AA87" s="5">
        <v>110.8</v>
      </c>
      <c r="AB87" s="9">
        <v>139.80000000000001</v>
      </c>
      <c r="AI87" t="s">
        <v>707</v>
      </c>
      <c r="AJ87" t="s">
        <v>707</v>
      </c>
      <c r="AO87" t="s">
        <v>2981</v>
      </c>
      <c r="AQ87" s="24">
        <v>46084.523275462961</v>
      </c>
    </row>
    <row r="88" spans="2:43" x14ac:dyDescent="0.25">
      <c r="E88" s="19">
        <v>250</v>
      </c>
      <c r="G88">
        <v>73392983265</v>
      </c>
      <c r="H88" t="s">
        <v>1564</v>
      </c>
      <c r="I88" s="5">
        <v>0</v>
      </c>
      <c r="J88" t="s">
        <v>1100</v>
      </c>
      <c r="K88" s="18">
        <v>42226</v>
      </c>
      <c r="L88" t="s">
        <v>1565</v>
      </c>
      <c r="M88" t="s">
        <v>1566</v>
      </c>
      <c r="N88">
        <v>36205718891</v>
      </c>
      <c r="O88" t="s">
        <v>1567</v>
      </c>
      <c r="P88" t="s">
        <v>1568</v>
      </c>
      <c r="Q88" t="s">
        <v>1567</v>
      </c>
      <c r="R88" s="34"/>
      <c r="X88" s="5">
        <v>0</v>
      </c>
      <c r="Y88" s="5">
        <v>0</v>
      </c>
      <c r="Z88" s="33">
        <v>25</v>
      </c>
      <c r="AA88" s="5">
        <v>25</v>
      </c>
      <c r="AB88" s="9">
        <v>25</v>
      </c>
      <c r="AI88" t="s">
        <v>707</v>
      </c>
      <c r="AN88" t="s">
        <v>2895</v>
      </c>
      <c r="AO88" t="s">
        <v>2982</v>
      </c>
    </row>
    <row r="89" spans="2:43" x14ac:dyDescent="0.25">
      <c r="B89">
        <v>78</v>
      </c>
      <c r="C89">
        <v>9</v>
      </c>
      <c r="D89" s="21">
        <v>46087.40625</v>
      </c>
      <c r="E89">
        <v>102</v>
      </c>
      <c r="F89" t="s">
        <v>707</v>
      </c>
      <c r="G89">
        <v>73451589251</v>
      </c>
      <c r="H89" t="s">
        <v>1569</v>
      </c>
      <c r="I89" s="5">
        <v>40</v>
      </c>
      <c r="J89" t="s">
        <v>1100</v>
      </c>
      <c r="K89" s="18">
        <v>42549</v>
      </c>
      <c r="L89" t="s">
        <v>1570</v>
      </c>
      <c r="M89" t="s">
        <v>1571</v>
      </c>
      <c r="N89">
        <v>36705284776</v>
      </c>
      <c r="O89" t="s">
        <v>1572</v>
      </c>
      <c r="P89" t="s">
        <v>1573</v>
      </c>
      <c r="Q89" t="s">
        <v>1572</v>
      </c>
      <c r="R89" s="34"/>
      <c r="V89">
        <v>40</v>
      </c>
      <c r="W89">
        <v>34</v>
      </c>
      <c r="X89" s="5">
        <v>74</v>
      </c>
      <c r="Y89" s="5">
        <v>92.5</v>
      </c>
      <c r="Z89" s="33">
        <v>25</v>
      </c>
      <c r="AA89" s="5">
        <v>117.5</v>
      </c>
      <c r="AB89" s="9">
        <v>157.5</v>
      </c>
      <c r="AI89" t="s">
        <v>707</v>
      </c>
      <c r="AJ89" t="s">
        <v>707</v>
      </c>
      <c r="AO89" t="s">
        <v>2983</v>
      </c>
      <c r="AQ89" s="24">
        <v>46084.523275462961</v>
      </c>
    </row>
    <row r="90" spans="2:43" x14ac:dyDescent="0.25">
      <c r="B90">
        <v>79</v>
      </c>
      <c r="C90">
        <v>6</v>
      </c>
      <c r="D90" s="21">
        <v>46087.375</v>
      </c>
      <c r="E90">
        <v>101</v>
      </c>
      <c r="F90" t="s">
        <v>707</v>
      </c>
      <c r="G90">
        <v>73398637764</v>
      </c>
      <c r="H90" t="s">
        <v>1574</v>
      </c>
      <c r="I90" s="5">
        <v>45</v>
      </c>
      <c r="J90" t="s">
        <v>1101</v>
      </c>
      <c r="K90" s="18">
        <v>41957</v>
      </c>
      <c r="L90" t="s">
        <v>1575</v>
      </c>
      <c r="M90" t="s">
        <v>1576</v>
      </c>
      <c r="N90">
        <v>36302117429</v>
      </c>
      <c r="O90" t="s">
        <v>1577</v>
      </c>
      <c r="P90" t="s">
        <v>1575</v>
      </c>
      <c r="Q90" t="s">
        <v>1577</v>
      </c>
      <c r="R90" s="34" t="s">
        <v>2384</v>
      </c>
      <c r="S90" t="s">
        <v>293</v>
      </c>
      <c r="T90" t="s">
        <v>294</v>
      </c>
      <c r="U90" t="s">
        <v>295</v>
      </c>
      <c r="V90">
        <v>39</v>
      </c>
      <c r="W90">
        <v>31</v>
      </c>
      <c r="X90" s="5">
        <v>70</v>
      </c>
      <c r="Y90" s="5">
        <v>87.5</v>
      </c>
      <c r="Z90" s="33">
        <v>25</v>
      </c>
      <c r="AA90" s="5">
        <v>112.5</v>
      </c>
      <c r="AB90" s="9">
        <v>157.5</v>
      </c>
      <c r="AH90" t="s">
        <v>1578</v>
      </c>
      <c r="AI90" t="s">
        <v>707</v>
      </c>
      <c r="AK90" t="s">
        <v>707</v>
      </c>
      <c r="AO90" t="s">
        <v>2984</v>
      </c>
      <c r="AQ90" s="24">
        <v>46084.523032407407</v>
      </c>
    </row>
    <row r="91" spans="2:43" x14ac:dyDescent="0.25">
      <c r="B91">
        <v>193</v>
      </c>
      <c r="C91">
        <v>1</v>
      </c>
      <c r="D91" s="21">
        <v>46091.604166666664</v>
      </c>
      <c r="E91" s="31">
        <v>9</v>
      </c>
      <c r="F91" t="s">
        <v>707</v>
      </c>
      <c r="G91">
        <v>73435697572</v>
      </c>
      <c r="H91" t="s">
        <v>1579</v>
      </c>
      <c r="I91" s="5">
        <v>48</v>
      </c>
      <c r="J91" t="s">
        <v>1098</v>
      </c>
      <c r="K91" s="18">
        <v>42572</v>
      </c>
      <c r="L91" t="s">
        <v>1580</v>
      </c>
      <c r="M91" t="s">
        <v>1581</v>
      </c>
      <c r="N91">
        <v>36302268717</v>
      </c>
      <c r="O91" t="s">
        <v>1582</v>
      </c>
      <c r="P91" t="s">
        <v>1583</v>
      </c>
      <c r="Q91" t="s">
        <v>1582</v>
      </c>
      <c r="R91" s="34" t="s">
        <v>2382</v>
      </c>
      <c r="S91" t="s">
        <v>38</v>
      </c>
      <c r="T91" t="s">
        <v>39</v>
      </c>
      <c r="U91" t="s">
        <v>40</v>
      </c>
      <c r="V91">
        <v>43</v>
      </c>
      <c r="W91">
        <v>43</v>
      </c>
      <c r="X91" s="5">
        <v>86</v>
      </c>
      <c r="Y91" s="5">
        <v>107.5</v>
      </c>
      <c r="Z91" s="33">
        <v>25</v>
      </c>
      <c r="AA91" s="5">
        <v>132.5</v>
      </c>
      <c r="AB91" s="9">
        <v>180.5</v>
      </c>
      <c r="AI91" t="s">
        <v>707</v>
      </c>
      <c r="AJ91" t="s">
        <v>707</v>
      </c>
      <c r="AK91" t="s">
        <v>707</v>
      </c>
      <c r="AL91" t="s">
        <v>707</v>
      </c>
      <c r="AM91" t="s">
        <v>1584</v>
      </c>
      <c r="AO91" t="s">
        <v>2985</v>
      </c>
      <c r="AQ91" s="24">
        <v>46084.523055555554</v>
      </c>
    </row>
    <row r="92" spans="2:43" x14ac:dyDescent="0.25">
      <c r="B92">
        <v>80</v>
      </c>
      <c r="C92">
        <v>7</v>
      </c>
      <c r="D92" s="21">
        <v>46087.40625</v>
      </c>
      <c r="E92" s="31">
        <v>77</v>
      </c>
      <c r="F92" t="s">
        <v>707</v>
      </c>
      <c r="G92">
        <v>73446328414</v>
      </c>
      <c r="H92" t="s">
        <v>1585</v>
      </c>
      <c r="I92" s="5">
        <v>39</v>
      </c>
      <c r="J92" t="s">
        <v>1101</v>
      </c>
      <c r="K92" s="18">
        <v>42501</v>
      </c>
      <c r="L92" t="s">
        <v>1586</v>
      </c>
      <c r="M92" t="s">
        <v>1587</v>
      </c>
      <c r="N92">
        <v>36202545678</v>
      </c>
      <c r="O92" t="s">
        <v>1588</v>
      </c>
      <c r="P92" t="s">
        <v>1589</v>
      </c>
      <c r="Q92" t="s">
        <v>1588</v>
      </c>
      <c r="R92" s="34" t="s">
        <v>2378</v>
      </c>
      <c r="S92" t="s">
        <v>617</v>
      </c>
      <c r="T92" t="s">
        <v>618</v>
      </c>
      <c r="U92" t="s">
        <v>619</v>
      </c>
      <c r="V92">
        <v>38</v>
      </c>
      <c r="W92">
        <v>42</v>
      </c>
      <c r="X92" s="5">
        <v>80</v>
      </c>
      <c r="Y92" s="5">
        <v>100</v>
      </c>
      <c r="Z92" s="33">
        <v>24</v>
      </c>
      <c r="AA92" s="5">
        <v>124</v>
      </c>
      <c r="AB92" s="9">
        <v>163</v>
      </c>
      <c r="AI92" t="s">
        <v>707</v>
      </c>
      <c r="AO92" t="s">
        <v>2986</v>
      </c>
      <c r="AQ92" s="24">
        <v>46084.523229166669</v>
      </c>
    </row>
    <row r="93" spans="2:43" x14ac:dyDescent="0.25">
      <c r="B93">
        <v>81</v>
      </c>
      <c r="C93">
        <v>8</v>
      </c>
      <c r="D93" s="21">
        <v>46087.40625</v>
      </c>
      <c r="E93">
        <v>151</v>
      </c>
      <c r="F93" t="s">
        <v>707</v>
      </c>
      <c r="G93">
        <v>73434537458</v>
      </c>
      <c r="H93" t="s">
        <v>1590</v>
      </c>
      <c r="I93" s="5">
        <v>33</v>
      </c>
      <c r="J93" t="s">
        <v>1591</v>
      </c>
      <c r="K93" s="18">
        <v>42396</v>
      </c>
      <c r="L93" t="s">
        <v>1592</v>
      </c>
      <c r="M93" t="s">
        <v>1593</v>
      </c>
      <c r="N93">
        <v>36305870931</v>
      </c>
      <c r="O93" t="s">
        <v>1594</v>
      </c>
      <c r="P93" t="s">
        <v>1590</v>
      </c>
      <c r="Q93" t="s">
        <v>1594</v>
      </c>
      <c r="R93" s="34" t="s">
        <v>2384</v>
      </c>
      <c r="S93" t="s">
        <v>293</v>
      </c>
      <c r="T93" t="s">
        <v>294</v>
      </c>
      <c r="U93" t="s">
        <v>295</v>
      </c>
      <c r="V93">
        <v>36</v>
      </c>
      <c r="W93">
        <v>36</v>
      </c>
      <c r="X93" s="5">
        <v>72</v>
      </c>
      <c r="Y93" s="5">
        <v>90</v>
      </c>
      <c r="Z93" s="33">
        <v>25</v>
      </c>
      <c r="AA93" s="5">
        <v>115</v>
      </c>
      <c r="AB93" s="9">
        <v>148</v>
      </c>
      <c r="AI93" t="s">
        <v>707</v>
      </c>
      <c r="AJ93" t="s">
        <v>707</v>
      </c>
      <c r="AK93" t="s">
        <v>707</v>
      </c>
      <c r="AL93" t="s">
        <v>707</v>
      </c>
      <c r="AO93" t="s">
        <v>2987</v>
      </c>
      <c r="AQ93" s="24">
        <v>46084.523263888892</v>
      </c>
    </row>
    <row r="94" spans="2:43" x14ac:dyDescent="0.25">
      <c r="B94">
        <v>82</v>
      </c>
      <c r="C94">
        <v>1</v>
      </c>
      <c r="D94" s="21">
        <v>46087.4375</v>
      </c>
      <c r="E94" s="31">
        <v>70</v>
      </c>
      <c r="F94" t="s">
        <v>707</v>
      </c>
      <c r="G94">
        <v>73451940412</v>
      </c>
      <c r="H94" t="s">
        <v>1595</v>
      </c>
      <c r="I94" s="5">
        <v>46</v>
      </c>
      <c r="J94" t="s">
        <v>1097</v>
      </c>
      <c r="K94" s="18">
        <v>42384</v>
      </c>
      <c r="L94" t="s">
        <v>1596</v>
      </c>
      <c r="M94" t="s">
        <v>1597</v>
      </c>
      <c r="N94">
        <v>36305200077</v>
      </c>
      <c r="O94" t="s">
        <v>1598</v>
      </c>
      <c r="P94" t="s">
        <v>1599</v>
      </c>
      <c r="Q94" t="s">
        <v>1598</v>
      </c>
      <c r="R94" s="34" t="s">
        <v>2386</v>
      </c>
      <c r="S94" t="s">
        <v>145</v>
      </c>
      <c r="T94" t="s">
        <v>146</v>
      </c>
      <c r="U94" t="s">
        <v>147</v>
      </c>
      <c r="V94">
        <v>41</v>
      </c>
      <c r="W94">
        <v>34</v>
      </c>
      <c r="X94" s="5">
        <v>75</v>
      </c>
      <c r="Y94" s="5">
        <v>93.75</v>
      </c>
      <c r="Z94" s="33">
        <v>25</v>
      </c>
      <c r="AA94" s="5">
        <v>118.75</v>
      </c>
      <c r="AB94" s="9">
        <v>164.75</v>
      </c>
      <c r="AI94" t="s">
        <v>707</v>
      </c>
      <c r="AJ94" t="s">
        <v>707</v>
      </c>
      <c r="AK94" t="s">
        <v>707</v>
      </c>
      <c r="AO94" t="s">
        <v>2988</v>
      </c>
      <c r="AQ94" s="24">
        <v>46084.523321759261</v>
      </c>
    </row>
    <row r="95" spans="2:43" x14ac:dyDescent="0.25">
      <c r="B95">
        <v>225</v>
      </c>
      <c r="C95">
        <v>2</v>
      </c>
      <c r="D95" s="21">
        <v>46098.635416666664</v>
      </c>
      <c r="E95" s="19">
        <v>232</v>
      </c>
      <c r="F95" t="s">
        <v>707</v>
      </c>
      <c r="G95">
        <v>73467865640</v>
      </c>
      <c r="H95" t="s">
        <v>1600</v>
      </c>
      <c r="I95" s="5">
        <v>27</v>
      </c>
      <c r="J95" t="s">
        <v>1097</v>
      </c>
      <c r="K95" s="18">
        <v>42388</v>
      </c>
      <c r="L95" t="s">
        <v>1601</v>
      </c>
      <c r="M95" t="s">
        <v>1602</v>
      </c>
      <c r="N95">
        <v>36302221282</v>
      </c>
      <c r="O95" t="s">
        <v>1603</v>
      </c>
      <c r="P95" t="s">
        <v>1604</v>
      </c>
      <c r="Q95" t="s">
        <v>1603</v>
      </c>
      <c r="R95" s="34" t="s">
        <v>1115</v>
      </c>
      <c r="S95" t="s">
        <v>118</v>
      </c>
      <c r="T95" t="s">
        <v>119</v>
      </c>
      <c r="U95" t="s">
        <v>120</v>
      </c>
      <c r="V95">
        <v>26</v>
      </c>
      <c r="W95">
        <v>26</v>
      </c>
      <c r="X95" s="5">
        <v>52</v>
      </c>
      <c r="Y95" s="5">
        <v>65</v>
      </c>
      <c r="Z95" s="33">
        <v>25</v>
      </c>
      <c r="AA95" s="5">
        <v>90</v>
      </c>
      <c r="AB95" s="9">
        <v>117</v>
      </c>
      <c r="AI95" t="s">
        <v>707</v>
      </c>
      <c r="AJ95" t="s">
        <v>707</v>
      </c>
      <c r="AK95" t="s">
        <v>707</v>
      </c>
      <c r="AL95" t="s">
        <v>707</v>
      </c>
      <c r="AO95" t="s">
        <v>2989</v>
      </c>
      <c r="AQ95" s="24">
        <v>46084.523125</v>
      </c>
    </row>
    <row r="96" spans="2:43" x14ac:dyDescent="0.25">
      <c r="B96">
        <v>83</v>
      </c>
      <c r="C96">
        <v>1</v>
      </c>
      <c r="D96" s="21">
        <v>46087.4375</v>
      </c>
      <c r="E96">
        <v>138</v>
      </c>
      <c r="F96" t="s">
        <v>707</v>
      </c>
      <c r="G96">
        <v>73368979008</v>
      </c>
      <c r="H96" t="s">
        <v>1605</v>
      </c>
      <c r="I96" s="5">
        <v>37</v>
      </c>
      <c r="J96" t="s">
        <v>1100</v>
      </c>
      <c r="K96" s="18">
        <v>42026</v>
      </c>
      <c r="L96" t="s">
        <v>1606</v>
      </c>
      <c r="M96" t="s">
        <v>1607</v>
      </c>
      <c r="N96">
        <v>36703766208</v>
      </c>
      <c r="O96" t="s">
        <v>1608</v>
      </c>
      <c r="P96" t="s">
        <v>1609</v>
      </c>
      <c r="Q96" t="s">
        <v>1608</v>
      </c>
      <c r="R96" s="34" t="s">
        <v>1119</v>
      </c>
      <c r="S96" t="s">
        <v>204</v>
      </c>
      <c r="T96" t="s">
        <v>205</v>
      </c>
      <c r="U96" t="s">
        <v>206</v>
      </c>
      <c r="V96">
        <v>35</v>
      </c>
      <c r="W96">
        <v>36</v>
      </c>
      <c r="X96" s="5">
        <v>71</v>
      </c>
      <c r="Y96" s="5">
        <v>88.75</v>
      </c>
      <c r="Z96" s="33">
        <v>24.55</v>
      </c>
      <c r="AA96" s="5">
        <v>113.3</v>
      </c>
      <c r="AB96" s="9">
        <v>150.30000000000001</v>
      </c>
      <c r="AI96" t="s">
        <v>707</v>
      </c>
      <c r="AJ96" t="s">
        <v>707</v>
      </c>
      <c r="AK96" t="s">
        <v>707</v>
      </c>
      <c r="AO96" t="s">
        <v>2990</v>
      </c>
      <c r="AQ96" s="24">
        <v>46084.523321759261</v>
      </c>
    </row>
    <row r="97" spans="2:43" x14ac:dyDescent="0.25">
      <c r="B97">
        <v>84</v>
      </c>
      <c r="C97">
        <v>1</v>
      </c>
      <c r="D97" s="21">
        <v>46087.4375</v>
      </c>
      <c r="E97" s="31">
        <v>32</v>
      </c>
      <c r="F97" t="s">
        <v>707</v>
      </c>
      <c r="G97">
        <v>73467291782</v>
      </c>
      <c r="H97" t="s">
        <v>1610</v>
      </c>
      <c r="I97" s="5">
        <v>38</v>
      </c>
      <c r="J97" t="s">
        <v>1104</v>
      </c>
      <c r="K97" s="18">
        <v>42401</v>
      </c>
      <c r="L97" t="s">
        <v>1611</v>
      </c>
      <c r="M97" t="s">
        <v>1612</v>
      </c>
      <c r="N97">
        <v>36702376748</v>
      </c>
      <c r="O97" t="s">
        <v>1613</v>
      </c>
      <c r="P97" t="s">
        <v>1614</v>
      </c>
      <c r="Q97" t="s">
        <v>1613</v>
      </c>
      <c r="R97" s="34" t="s">
        <v>2855</v>
      </c>
      <c r="S97" t="s">
        <v>1615</v>
      </c>
      <c r="T97" t="s">
        <v>549</v>
      </c>
      <c r="U97" t="s">
        <v>2852</v>
      </c>
      <c r="V97">
        <v>44</v>
      </c>
      <c r="W97">
        <v>44</v>
      </c>
      <c r="X97" s="5">
        <v>88</v>
      </c>
      <c r="Y97" s="5">
        <v>110</v>
      </c>
      <c r="Z97" s="33">
        <v>25</v>
      </c>
      <c r="AA97" s="5">
        <v>135</v>
      </c>
      <c r="AB97" s="9">
        <v>173</v>
      </c>
      <c r="AK97" t="s">
        <v>707</v>
      </c>
      <c r="AO97" t="s">
        <v>2991</v>
      </c>
      <c r="AQ97" s="24">
        <v>46084.523321759261</v>
      </c>
    </row>
    <row r="98" spans="2:43" x14ac:dyDescent="0.25">
      <c r="B98">
        <v>85</v>
      </c>
      <c r="C98">
        <v>1</v>
      </c>
      <c r="D98" s="21">
        <v>46087.4375</v>
      </c>
      <c r="E98" s="31">
        <v>18</v>
      </c>
      <c r="F98" t="s">
        <v>707</v>
      </c>
      <c r="G98">
        <v>73374347526</v>
      </c>
      <c r="H98" t="s">
        <v>1616</v>
      </c>
      <c r="I98" s="5">
        <v>43</v>
      </c>
      <c r="J98" t="s">
        <v>1617</v>
      </c>
      <c r="K98" s="18">
        <v>42209</v>
      </c>
      <c r="L98" t="s">
        <v>1618</v>
      </c>
      <c r="M98" t="s">
        <v>1619</v>
      </c>
      <c r="N98">
        <v>36301452022</v>
      </c>
      <c r="O98" t="s">
        <v>1620</v>
      </c>
      <c r="P98" t="s">
        <v>1618</v>
      </c>
      <c r="Q98" t="s">
        <v>1620</v>
      </c>
      <c r="R98" s="34"/>
      <c r="V98">
        <v>43</v>
      </c>
      <c r="W98">
        <v>43</v>
      </c>
      <c r="X98" s="5">
        <v>86</v>
      </c>
      <c r="Y98" s="5">
        <v>107.5</v>
      </c>
      <c r="Z98" s="33">
        <v>25</v>
      </c>
      <c r="AA98" s="5">
        <v>132.5</v>
      </c>
      <c r="AB98" s="9">
        <v>175.5</v>
      </c>
      <c r="AI98" t="s">
        <v>707</v>
      </c>
      <c r="AJ98" t="s">
        <v>707</v>
      </c>
      <c r="AO98" t="s">
        <v>2992</v>
      </c>
      <c r="AQ98" s="24">
        <v>46084.523321759261</v>
      </c>
    </row>
    <row r="99" spans="2:43" x14ac:dyDescent="0.25">
      <c r="B99">
        <v>226</v>
      </c>
      <c r="C99">
        <v>1</v>
      </c>
      <c r="D99" s="21">
        <v>46097.635416666664</v>
      </c>
      <c r="E99">
        <v>108</v>
      </c>
      <c r="F99" t="s">
        <v>707</v>
      </c>
      <c r="G99">
        <v>73403606863</v>
      </c>
      <c r="H99" t="s">
        <v>1621</v>
      </c>
      <c r="I99" s="5">
        <v>37</v>
      </c>
      <c r="J99" t="s">
        <v>1096</v>
      </c>
      <c r="K99" s="18">
        <v>42107</v>
      </c>
      <c r="L99" t="s">
        <v>1622</v>
      </c>
      <c r="M99" t="s">
        <v>1623</v>
      </c>
      <c r="N99">
        <v>36203583792</v>
      </c>
      <c r="O99" t="s">
        <v>1624</v>
      </c>
      <c r="P99" t="s">
        <v>1625</v>
      </c>
      <c r="Q99" t="s">
        <v>1624</v>
      </c>
      <c r="R99" s="34"/>
      <c r="V99">
        <v>36</v>
      </c>
      <c r="W99">
        <v>39</v>
      </c>
      <c r="X99" s="5">
        <v>75</v>
      </c>
      <c r="Y99" s="5">
        <v>93.75</v>
      </c>
      <c r="Z99" s="33">
        <v>25</v>
      </c>
      <c r="AA99" s="5">
        <v>118.75</v>
      </c>
      <c r="AB99" s="9">
        <v>155.75</v>
      </c>
      <c r="AI99" t="s">
        <v>707</v>
      </c>
      <c r="AJ99" t="s">
        <v>707</v>
      </c>
      <c r="AK99" t="s">
        <v>707</v>
      </c>
      <c r="AL99" t="s">
        <v>707</v>
      </c>
      <c r="AO99" t="s">
        <v>2993</v>
      </c>
      <c r="AQ99" s="24">
        <v>46084.523344907408</v>
      </c>
    </row>
    <row r="100" spans="2:43" x14ac:dyDescent="0.25">
      <c r="B100">
        <v>86</v>
      </c>
      <c r="C100">
        <v>2</v>
      </c>
      <c r="D100" s="21">
        <v>46087.4375</v>
      </c>
      <c r="E100">
        <v>93</v>
      </c>
      <c r="F100" t="s">
        <v>707</v>
      </c>
      <c r="G100">
        <v>73367177186</v>
      </c>
      <c r="H100" t="s">
        <v>1626</v>
      </c>
      <c r="I100" s="5">
        <v>49</v>
      </c>
      <c r="J100" t="s">
        <v>1100</v>
      </c>
      <c r="K100" s="18">
        <v>42158</v>
      </c>
      <c r="L100" t="s">
        <v>1106</v>
      </c>
      <c r="M100" t="s">
        <v>1627</v>
      </c>
      <c r="N100">
        <v>36301403285</v>
      </c>
      <c r="O100" t="s">
        <v>1628</v>
      </c>
      <c r="P100" t="s">
        <v>1629</v>
      </c>
      <c r="Q100" t="s">
        <v>1628</v>
      </c>
      <c r="R100" s="34" t="s">
        <v>2372</v>
      </c>
      <c r="S100" t="s">
        <v>643</v>
      </c>
      <c r="T100" t="s">
        <v>644</v>
      </c>
      <c r="U100" t="s">
        <v>645</v>
      </c>
      <c r="V100">
        <v>38</v>
      </c>
      <c r="W100">
        <v>31</v>
      </c>
      <c r="X100" s="5">
        <v>69</v>
      </c>
      <c r="Y100" s="5">
        <v>86.25</v>
      </c>
      <c r="Z100" s="33">
        <v>24</v>
      </c>
      <c r="AA100" s="5">
        <v>110.25</v>
      </c>
      <c r="AB100" s="9">
        <v>159.25</v>
      </c>
      <c r="AI100" t="s">
        <v>707</v>
      </c>
      <c r="AJ100" t="s">
        <v>707</v>
      </c>
      <c r="AK100" t="s">
        <v>707</v>
      </c>
      <c r="AL100" t="s">
        <v>707</v>
      </c>
      <c r="AO100" t="s">
        <v>2994</v>
      </c>
      <c r="AQ100" s="24">
        <v>46084.523356481484</v>
      </c>
    </row>
    <row r="101" spans="2:43" x14ac:dyDescent="0.25">
      <c r="B101">
        <v>87</v>
      </c>
      <c r="C101">
        <v>2</v>
      </c>
      <c r="D101" s="21">
        <v>46087.4375</v>
      </c>
      <c r="E101">
        <v>188</v>
      </c>
      <c r="F101" t="s">
        <v>707</v>
      </c>
      <c r="G101">
        <v>73466066265</v>
      </c>
      <c r="H101" t="s">
        <v>1630</v>
      </c>
      <c r="I101" s="5">
        <v>0</v>
      </c>
      <c r="J101" t="s">
        <v>1098</v>
      </c>
      <c r="K101" s="18">
        <v>42440</v>
      </c>
      <c r="L101" t="s">
        <v>1631</v>
      </c>
      <c r="M101" t="s">
        <v>1632</v>
      </c>
      <c r="N101">
        <v>36302453283</v>
      </c>
      <c r="O101" t="s">
        <v>1633</v>
      </c>
      <c r="P101" t="s">
        <v>1630</v>
      </c>
      <c r="Q101" t="s">
        <v>1633</v>
      </c>
      <c r="R101" s="34" t="s">
        <v>2856</v>
      </c>
      <c r="S101" t="s">
        <v>1634</v>
      </c>
      <c r="T101" t="s">
        <v>609</v>
      </c>
      <c r="U101" t="s">
        <v>2853</v>
      </c>
      <c r="V101">
        <v>45</v>
      </c>
      <c r="W101">
        <v>45</v>
      </c>
      <c r="X101" s="5">
        <v>90</v>
      </c>
      <c r="Y101" s="5">
        <v>112.5</v>
      </c>
      <c r="Z101" s="33">
        <v>25</v>
      </c>
      <c r="AA101" s="5">
        <v>137.5</v>
      </c>
      <c r="AB101" s="9">
        <v>137.5</v>
      </c>
      <c r="AI101" t="s">
        <v>707</v>
      </c>
      <c r="AJ101" t="s">
        <v>707</v>
      </c>
      <c r="AK101" t="s">
        <v>707</v>
      </c>
      <c r="AL101" t="s">
        <v>707</v>
      </c>
      <c r="AN101" t="s">
        <v>2895</v>
      </c>
      <c r="AO101" t="s">
        <v>2995</v>
      </c>
      <c r="AQ101" s="24">
        <v>46084.523356481484</v>
      </c>
    </row>
    <row r="102" spans="2:43" x14ac:dyDescent="0.25">
      <c r="B102">
        <v>88</v>
      </c>
      <c r="C102">
        <v>2</v>
      </c>
      <c r="D102" s="21">
        <v>46087.4375</v>
      </c>
      <c r="E102">
        <v>203</v>
      </c>
      <c r="F102" t="s">
        <v>707</v>
      </c>
      <c r="G102">
        <v>73439197152</v>
      </c>
      <c r="H102" t="s">
        <v>1635</v>
      </c>
      <c r="I102" s="5">
        <v>26</v>
      </c>
      <c r="J102" t="s">
        <v>1096</v>
      </c>
      <c r="K102" s="18">
        <v>42484</v>
      </c>
      <c r="L102" t="s">
        <v>1636</v>
      </c>
      <c r="M102" t="s">
        <v>1637</v>
      </c>
      <c r="N102">
        <v>36703417817</v>
      </c>
      <c r="O102" t="s">
        <v>1638</v>
      </c>
      <c r="P102" t="s">
        <v>1639</v>
      </c>
      <c r="Q102" t="s">
        <v>1638</v>
      </c>
      <c r="R102" s="34" t="s">
        <v>1111</v>
      </c>
      <c r="S102" t="s">
        <v>613</v>
      </c>
      <c r="T102" t="s">
        <v>614</v>
      </c>
      <c r="U102" t="s">
        <v>615</v>
      </c>
      <c r="V102">
        <v>36</v>
      </c>
      <c r="W102">
        <v>31</v>
      </c>
      <c r="X102" s="5">
        <v>67</v>
      </c>
      <c r="Y102" s="5">
        <v>83.75</v>
      </c>
      <c r="Z102" s="33">
        <v>25</v>
      </c>
      <c r="AA102" s="5">
        <v>108.75</v>
      </c>
      <c r="AB102" s="9">
        <v>134.75</v>
      </c>
      <c r="AI102" t="s">
        <v>707</v>
      </c>
      <c r="AJ102" t="s">
        <v>707</v>
      </c>
      <c r="AK102" t="s">
        <v>707</v>
      </c>
      <c r="AL102" t="s">
        <v>707</v>
      </c>
      <c r="AO102" t="s">
        <v>2996</v>
      </c>
      <c r="AQ102" s="24">
        <v>46084.523356481484</v>
      </c>
    </row>
    <row r="103" spans="2:43" x14ac:dyDescent="0.25">
      <c r="B103">
        <v>89</v>
      </c>
      <c r="C103">
        <v>2</v>
      </c>
      <c r="D103" s="21">
        <v>46087.4375</v>
      </c>
      <c r="E103" s="31">
        <v>8</v>
      </c>
      <c r="F103" t="s">
        <v>707</v>
      </c>
      <c r="G103">
        <v>73448883501</v>
      </c>
      <c r="H103" t="s">
        <v>1640</v>
      </c>
      <c r="I103" s="5">
        <v>50</v>
      </c>
      <c r="J103" t="s">
        <v>1104</v>
      </c>
      <c r="K103" s="18">
        <v>42296</v>
      </c>
      <c r="L103" t="s">
        <v>1641</v>
      </c>
      <c r="M103" t="s">
        <v>1642</v>
      </c>
      <c r="N103">
        <v>36302712165</v>
      </c>
      <c r="O103" t="s">
        <v>1643</v>
      </c>
      <c r="P103" t="s">
        <v>1641</v>
      </c>
      <c r="Q103" t="s">
        <v>1643</v>
      </c>
      <c r="R103" s="34"/>
      <c r="V103">
        <v>45</v>
      </c>
      <c r="W103">
        <v>40</v>
      </c>
      <c r="X103" s="5">
        <v>85</v>
      </c>
      <c r="Y103" s="5">
        <v>106.25</v>
      </c>
      <c r="Z103" s="33">
        <v>25</v>
      </c>
      <c r="AA103" s="5">
        <v>131.25</v>
      </c>
      <c r="AB103" s="9">
        <v>181.25</v>
      </c>
      <c r="AI103" t="s">
        <v>707</v>
      </c>
      <c r="AJ103" t="s">
        <v>707</v>
      </c>
      <c r="AO103" t="s">
        <v>2997</v>
      </c>
      <c r="AQ103" s="24">
        <v>46084.523356481484</v>
      </c>
    </row>
    <row r="104" spans="2:43" x14ac:dyDescent="0.25">
      <c r="B104">
        <v>90</v>
      </c>
      <c r="C104">
        <v>3</v>
      </c>
      <c r="D104" s="21">
        <v>46087.4375</v>
      </c>
      <c r="E104" s="31">
        <v>28</v>
      </c>
      <c r="F104" t="s">
        <v>707</v>
      </c>
      <c r="G104">
        <v>73379688303</v>
      </c>
      <c r="H104" t="s">
        <v>1644</v>
      </c>
      <c r="I104" s="5">
        <v>45</v>
      </c>
      <c r="J104" t="s">
        <v>1097</v>
      </c>
      <c r="K104" s="18">
        <v>41960</v>
      </c>
      <c r="L104" t="s">
        <v>1645</v>
      </c>
      <c r="M104" t="s">
        <v>1646</v>
      </c>
      <c r="N104">
        <v>36704505781</v>
      </c>
      <c r="O104" t="s">
        <v>1647</v>
      </c>
      <c r="P104" t="s">
        <v>1645</v>
      </c>
      <c r="Q104" t="s">
        <v>1647</v>
      </c>
      <c r="R104" s="34" t="s">
        <v>2833</v>
      </c>
      <c r="S104" t="s">
        <v>1241</v>
      </c>
      <c r="T104" t="s">
        <v>2829</v>
      </c>
      <c r="U104" t="s">
        <v>2830</v>
      </c>
      <c r="V104">
        <v>41</v>
      </c>
      <c r="W104">
        <v>42</v>
      </c>
      <c r="X104" s="5">
        <v>83</v>
      </c>
      <c r="Y104" s="5">
        <v>103.75</v>
      </c>
      <c r="Z104" s="33">
        <v>25</v>
      </c>
      <c r="AA104" s="5">
        <v>128.75</v>
      </c>
      <c r="AB104" s="9">
        <v>173.75</v>
      </c>
      <c r="AI104" t="s">
        <v>707</v>
      </c>
      <c r="AJ104" t="s">
        <v>707</v>
      </c>
      <c r="AK104" t="s">
        <v>707</v>
      </c>
      <c r="AL104" t="s">
        <v>707</v>
      </c>
      <c r="AO104" t="s">
        <v>2998</v>
      </c>
      <c r="AQ104" s="24">
        <v>46084.5233912037</v>
      </c>
    </row>
    <row r="105" spans="2:43" x14ac:dyDescent="0.25">
      <c r="B105">
        <v>91</v>
      </c>
      <c r="C105">
        <v>3</v>
      </c>
      <c r="D105" s="21">
        <v>46087.4375</v>
      </c>
      <c r="E105" s="31">
        <v>63</v>
      </c>
      <c r="F105" t="s">
        <v>707</v>
      </c>
      <c r="G105">
        <v>73397945801</v>
      </c>
      <c r="H105" t="s">
        <v>1648</v>
      </c>
      <c r="I105" s="5">
        <v>49</v>
      </c>
      <c r="J105" t="s">
        <v>1097</v>
      </c>
      <c r="K105" s="18">
        <v>42330</v>
      </c>
      <c r="L105" t="s">
        <v>1649</v>
      </c>
      <c r="M105" t="s">
        <v>1650</v>
      </c>
      <c r="N105">
        <v>36202811257</v>
      </c>
      <c r="O105" t="s">
        <v>1651</v>
      </c>
      <c r="P105" t="s">
        <v>1649</v>
      </c>
      <c r="Q105" t="s">
        <v>1651</v>
      </c>
      <c r="R105" s="34" t="s">
        <v>2391</v>
      </c>
      <c r="S105" t="s">
        <v>544</v>
      </c>
      <c r="T105" t="s">
        <v>545</v>
      </c>
      <c r="U105" t="s">
        <v>147</v>
      </c>
      <c r="V105">
        <v>40</v>
      </c>
      <c r="W105">
        <v>34</v>
      </c>
      <c r="X105" s="5">
        <v>74</v>
      </c>
      <c r="Y105" s="5">
        <v>92.5</v>
      </c>
      <c r="Z105" s="33">
        <v>25</v>
      </c>
      <c r="AA105" s="5">
        <v>117.5</v>
      </c>
      <c r="AB105" s="9">
        <v>166.5</v>
      </c>
      <c r="AI105" t="s">
        <v>707</v>
      </c>
      <c r="AJ105" t="s">
        <v>707</v>
      </c>
      <c r="AK105" t="s">
        <v>707</v>
      </c>
      <c r="AL105" t="s">
        <v>707</v>
      </c>
      <c r="AM105" t="s">
        <v>1652</v>
      </c>
      <c r="AO105" t="s">
        <v>2999</v>
      </c>
      <c r="AQ105" s="24">
        <v>46084.5233912037</v>
      </c>
    </row>
    <row r="106" spans="2:43" x14ac:dyDescent="0.25">
      <c r="B106">
        <v>227</v>
      </c>
      <c r="C106">
        <v>1</v>
      </c>
      <c r="D106" s="21">
        <v>46097.604166666664</v>
      </c>
      <c r="E106">
        <v>172</v>
      </c>
      <c r="F106" t="s">
        <v>707</v>
      </c>
      <c r="G106">
        <v>73480762264</v>
      </c>
      <c r="H106" t="s">
        <v>1653</v>
      </c>
      <c r="I106" s="5">
        <v>43</v>
      </c>
      <c r="J106" t="s">
        <v>1100</v>
      </c>
      <c r="K106" s="18">
        <v>42535</v>
      </c>
      <c r="L106" t="s">
        <v>1654</v>
      </c>
      <c r="M106" t="s">
        <v>1655</v>
      </c>
      <c r="N106">
        <v>36308282535</v>
      </c>
      <c r="O106" t="s">
        <v>1656</v>
      </c>
      <c r="P106" t="s">
        <v>1654</v>
      </c>
      <c r="Q106" t="s">
        <v>1656</v>
      </c>
      <c r="R106" s="34"/>
      <c r="V106">
        <v>35</v>
      </c>
      <c r="W106">
        <v>26</v>
      </c>
      <c r="X106" s="5">
        <v>61</v>
      </c>
      <c r="Y106" s="5">
        <v>76.25</v>
      </c>
      <c r="Z106" s="33">
        <v>24</v>
      </c>
      <c r="AA106" s="5">
        <v>100.25</v>
      </c>
      <c r="AB106" s="9">
        <v>143.25</v>
      </c>
      <c r="AI106" t="s">
        <v>707</v>
      </c>
      <c r="AJ106" t="s">
        <v>707</v>
      </c>
      <c r="AK106" t="s">
        <v>707</v>
      </c>
      <c r="AL106" t="s">
        <v>707</v>
      </c>
      <c r="AO106" t="s">
        <v>3000</v>
      </c>
      <c r="AQ106" s="24">
        <v>46084.523194444446</v>
      </c>
    </row>
    <row r="107" spans="2:43" x14ac:dyDescent="0.25">
      <c r="B107">
        <v>92</v>
      </c>
      <c r="C107">
        <v>3</v>
      </c>
      <c r="D107" s="21">
        <v>46087.4375</v>
      </c>
      <c r="E107" s="31">
        <v>58</v>
      </c>
      <c r="F107" t="s">
        <v>707</v>
      </c>
      <c r="G107">
        <v>73371958805</v>
      </c>
      <c r="H107" t="s">
        <v>1657</v>
      </c>
      <c r="I107" s="5">
        <v>47</v>
      </c>
      <c r="J107" t="s">
        <v>1096</v>
      </c>
      <c r="K107" s="18">
        <v>42166</v>
      </c>
      <c r="L107" t="s">
        <v>1658</v>
      </c>
      <c r="M107" t="s">
        <v>1659</v>
      </c>
      <c r="N107">
        <v>36303257890</v>
      </c>
      <c r="O107" t="s">
        <v>1660</v>
      </c>
      <c r="P107" t="s">
        <v>1658</v>
      </c>
      <c r="Q107" t="s">
        <v>1660</v>
      </c>
      <c r="R107" s="34" t="s">
        <v>2381</v>
      </c>
      <c r="S107" t="s">
        <v>188</v>
      </c>
      <c r="T107" t="s">
        <v>189</v>
      </c>
      <c r="U107" t="s">
        <v>190</v>
      </c>
      <c r="V107">
        <v>41</v>
      </c>
      <c r="W107">
        <v>35</v>
      </c>
      <c r="X107" s="5">
        <v>76</v>
      </c>
      <c r="Y107" s="5">
        <v>95</v>
      </c>
      <c r="Z107" s="33">
        <v>25</v>
      </c>
      <c r="AA107" s="5">
        <v>120</v>
      </c>
      <c r="AB107" s="9">
        <v>167</v>
      </c>
      <c r="AK107" t="s">
        <v>707</v>
      </c>
      <c r="AO107" t="s">
        <v>3001</v>
      </c>
      <c r="AQ107" s="24">
        <v>46084.5233912037</v>
      </c>
    </row>
    <row r="108" spans="2:43" x14ac:dyDescent="0.25">
      <c r="B108">
        <v>93</v>
      </c>
      <c r="C108">
        <v>3</v>
      </c>
      <c r="D108" s="21">
        <v>46087.4375</v>
      </c>
      <c r="E108">
        <v>146</v>
      </c>
      <c r="F108" t="s">
        <v>707</v>
      </c>
      <c r="G108">
        <v>73477836437</v>
      </c>
      <c r="H108" t="s">
        <v>1661</v>
      </c>
      <c r="I108" s="5">
        <v>38</v>
      </c>
      <c r="J108" t="s">
        <v>1096</v>
      </c>
      <c r="K108" s="18">
        <v>42555</v>
      </c>
      <c r="L108" t="s">
        <v>1662</v>
      </c>
      <c r="M108" t="s">
        <v>1663</v>
      </c>
      <c r="N108">
        <v>36302782837</v>
      </c>
      <c r="O108" t="s">
        <v>1664</v>
      </c>
      <c r="P108" t="s">
        <v>1665</v>
      </c>
      <c r="Q108" t="s">
        <v>1664</v>
      </c>
      <c r="R108" s="34" t="s">
        <v>2857</v>
      </c>
      <c r="S108" t="s">
        <v>1666</v>
      </c>
      <c r="T108" t="s">
        <v>2850</v>
      </c>
      <c r="U108" t="s">
        <v>2849</v>
      </c>
      <c r="V108">
        <v>38</v>
      </c>
      <c r="W108">
        <v>31</v>
      </c>
      <c r="X108" s="5">
        <v>69</v>
      </c>
      <c r="Y108" s="5">
        <v>86.25</v>
      </c>
      <c r="Z108" s="33">
        <v>24.5</v>
      </c>
      <c r="AA108" s="5">
        <v>110.75</v>
      </c>
      <c r="AB108" s="9">
        <v>148.75</v>
      </c>
      <c r="AI108" t="s">
        <v>707</v>
      </c>
      <c r="AJ108" t="s">
        <v>707</v>
      </c>
      <c r="AL108" t="s">
        <v>707</v>
      </c>
      <c r="AO108" t="s">
        <v>3002</v>
      </c>
      <c r="AQ108" s="24">
        <v>46084.5233912037</v>
      </c>
    </row>
    <row r="109" spans="2:43" x14ac:dyDescent="0.25">
      <c r="B109">
        <v>94</v>
      </c>
      <c r="C109">
        <v>4</v>
      </c>
      <c r="D109" s="21">
        <v>46087.4375</v>
      </c>
      <c r="E109">
        <v>218</v>
      </c>
      <c r="F109" t="s">
        <v>707</v>
      </c>
      <c r="G109">
        <v>73434537959</v>
      </c>
      <c r="H109" t="s">
        <v>1667</v>
      </c>
      <c r="I109" s="5">
        <v>14</v>
      </c>
      <c r="J109" t="s">
        <v>1097</v>
      </c>
      <c r="K109" s="18">
        <v>42472</v>
      </c>
      <c r="L109" t="s">
        <v>1668</v>
      </c>
      <c r="M109" t="s">
        <v>1669</v>
      </c>
      <c r="N109">
        <v>36706154197</v>
      </c>
      <c r="O109" t="s">
        <v>1670</v>
      </c>
      <c r="P109" t="s">
        <v>1671</v>
      </c>
      <c r="Q109" t="s">
        <v>1670</v>
      </c>
      <c r="R109" s="34" t="s">
        <v>2376</v>
      </c>
      <c r="S109" t="s">
        <v>470</v>
      </c>
      <c r="T109" t="s">
        <v>471</v>
      </c>
      <c r="U109" t="s">
        <v>472</v>
      </c>
      <c r="V109">
        <v>34</v>
      </c>
      <c r="W109">
        <v>36</v>
      </c>
      <c r="X109" s="5">
        <v>70</v>
      </c>
      <c r="Y109" s="5">
        <v>87.5</v>
      </c>
      <c r="Z109" s="33">
        <v>24.55</v>
      </c>
      <c r="AA109" s="5">
        <v>112.05</v>
      </c>
      <c r="AB109" s="9">
        <v>126.05</v>
      </c>
      <c r="AD109" t="s">
        <v>707</v>
      </c>
      <c r="AI109" t="s">
        <v>707</v>
      </c>
      <c r="AJ109" t="s">
        <v>707</v>
      </c>
      <c r="AK109" t="s">
        <v>707</v>
      </c>
      <c r="AL109" t="s">
        <v>707</v>
      </c>
      <c r="AO109" t="s">
        <v>3003</v>
      </c>
      <c r="AQ109" s="24">
        <v>46084.523402777777</v>
      </c>
    </row>
    <row r="110" spans="2:43" x14ac:dyDescent="0.25">
      <c r="B110">
        <v>95</v>
      </c>
      <c r="C110">
        <v>4</v>
      </c>
      <c r="D110" s="21">
        <v>46087.4375</v>
      </c>
      <c r="E110" s="31">
        <v>3</v>
      </c>
      <c r="F110" t="s">
        <v>707</v>
      </c>
      <c r="G110">
        <v>73454899919</v>
      </c>
      <c r="H110" t="s">
        <v>1672</v>
      </c>
      <c r="I110" s="5">
        <v>50</v>
      </c>
      <c r="J110" t="s">
        <v>1101</v>
      </c>
      <c r="K110" s="18">
        <v>42317</v>
      </c>
      <c r="L110" t="s">
        <v>1673</v>
      </c>
      <c r="M110" t="s">
        <v>1674</v>
      </c>
      <c r="N110">
        <v>36304159036</v>
      </c>
      <c r="O110" t="s">
        <v>1675</v>
      </c>
      <c r="P110" t="s">
        <v>1673</v>
      </c>
      <c r="Q110" t="s">
        <v>1675</v>
      </c>
      <c r="R110" s="34"/>
      <c r="V110">
        <v>47</v>
      </c>
      <c r="W110">
        <v>43</v>
      </c>
      <c r="X110" s="5">
        <v>90</v>
      </c>
      <c r="Y110" s="5">
        <v>112.5</v>
      </c>
      <c r="Z110" s="33">
        <v>25</v>
      </c>
      <c r="AA110" s="5">
        <v>137.5</v>
      </c>
      <c r="AB110" s="9">
        <v>187.5</v>
      </c>
      <c r="AI110" t="s">
        <v>707</v>
      </c>
      <c r="AJ110" t="s">
        <v>707</v>
      </c>
      <c r="AK110" t="s">
        <v>707</v>
      </c>
      <c r="AL110" t="s">
        <v>707</v>
      </c>
      <c r="AO110" t="s">
        <v>3004</v>
      </c>
      <c r="AQ110" s="24">
        <v>46084.523402777777</v>
      </c>
    </row>
    <row r="111" spans="2:43" x14ac:dyDescent="0.25">
      <c r="B111">
        <v>96</v>
      </c>
      <c r="C111">
        <v>4</v>
      </c>
      <c r="D111" s="21">
        <v>46087.4375</v>
      </c>
      <c r="E111">
        <v>196</v>
      </c>
      <c r="F111" t="s">
        <v>707</v>
      </c>
      <c r="G111">
        <v>73444952440</v>
      </c>
      <c r="H111" t="s">
        <v>1676</v>
      </c>
      <c r="I111" s="5">
        <v>11</v>
      </c>
      <c r="J111" t="s">
        <v>1096</v>
      </c>
      <c r="K111" s="18">
        <v>42370</v>
      </c>
      <c r="L111" t="s">
        <v>1677</v>
      </c>
      <c r="M111" t="s">
        <v>1678</v>
      </c>
      <c r="N111">
        <v>36705805844</v>
      </c>
      <c r="O111" t="s">
        <v>1679</v>
      </c>
      <c r="P111" t="s">
        <v>1677</v>
      </c>
      <c r="Q111" t="s">
        <v>1679</v>
      </c>
      <c r="R111" s="34"/>
      <c r="V111">
        <v>38</v>
      </c>
      <c r="W111">
        <v>42</v>
      </c>
      <c r="X111" s="5">
        <v>80</v>
      </c>
      <c r="Y111" s="5">
        <v>100</v>
      </c>
      <c r="Z111" s="33">
        <v>25</v>
      </c>
      <c r="AA111" s="5">
        <v>125</v>
      </c>
      <c r="AB111" s="9">
        <v>136</v>
      </c>
      <c r="AI111" t="s">
        <v>707</v>
      </c>
      <c r="AJ111" t="s">
        <v>707</v>
      </c>
      <c r="AL111" t="s">
        <v>707</v>
      </c>
      <c r="AO111" t="s">
        <v>3005</v>
      </c>
      <c r="AQ111" s="24">
        <v>46084.523402777777</v>
      </c>
    </row>
    <row r="112" spans="2:43" x14ac:dyDescent="0.25">
      <c r="B112">
        <v>194</v>
      </c>
      <c r="C112">
        <v>2</v>
      </c>
      <c r="D112" s="21">
        <v>46098.604166666664</v>
      </c>
      <c r="E112">
        <v>222</v>
      </c>
      <c r="F112" t="s">
        <v>707</v>
      </c>
      <c r="G112">
        <v>73513465707</v>
      </c>
      <c r="H112" t="s">
        <v>1680</v>
      </c>
      <c r="I112" s="5">
        <v>17</v>
      </c>
      <c r="J112" t="s">
        <v>1100</v>
      </c>
      <c r="K112" s="18">
        <v>42445</v>
      </c>
      <c r="L112" t="s">
        <v>1681</v>
      </c>
      <c r="M112" t="s">
        <v>2434</v>
      </c>
      <c r="N112">
        <v>36703791786</v>
      </c>
      <c r="O112" t="s">
        <v>1682</v>
      </c>
      <c r="P112" t="s">
        <v>1681</v>
      </c>
      <c r="Q112" t="s">
        <v>1683</v>
      </c>
      <c r="R112" s="34"/>
      <c r="V112">
        <v>39</v>
      </c>
      <c r="W112">
        <v>28</v>
      </c>
      <c r="X112" s="5">
        <v>67</v>
      </c>
      <c r="Y112" s="5">
        <v>83.75</v>
      </c>
      <c r="Z112" s="33">
        <v>24.5</v>
      </c>
      <c r="AA112" s="5">
        <v>108.25</v>
      </c>
      <c r="AB112" s="9">
        <v>125.25</v>
      </c>
      <c r="AI112" t="s">
        <v>707</v>
      </c>
      <c r="AJ112" t="s">
        <v>707</v>
      </c>
      <c r="AK112" t="s">
        <v>707</v>
      </c>
      <c r="AL112" t="s">
        <v>707</v>
      </c>
      <c r="AO112" t="s">
        <v>3006</v>
      </c>
      <c r="AQ112" s="24">
        <v>46084.523425925923</v>
      </c>
    </row>
    <row r="113" spans="2:43" x14ac:dyDescent="0.25">
      <c r="B113">
        <v>97</v>
      </c>
      <c r="C113">
        <v>4</v>
      </c>
      <c r="D113" s="21">
        <v>46087.4375</v>
      </c>
      <c r="E113" s="31">
        <v>4</v>
      </c>
      <c r="F113" t="s">
        <v>707</v>
      </c>
      <c r="G113">
        <v>73433823697</v>
      </c>
      <c r="H113" t="s">
        <v>1684</v>
      </c>
      <c r="I113" s="5">
        <v>50</v>
      </c>
      <c r="J113" t="s">
        <v>1104</v>
      </c>
      <c r="K113" s="18">
        <v>42450</v>
      </c>
      <c r="L113" t="s">
        <v>1685</v>
      </c>
      <c r="M113" t="s">
        <v>1686</v>
      </c>
      <c r="N113">
        <v>36702052062</v>
      </c>
      <c r="O113" t="s">
        <v>1687</v>
      </c>
      <c r="P113" t="s">
        <v>1688</v>
      </c>
      <c r="Q113" t="s">
        <v>1687</v>
      </c>
      <c r="R113" s="34"/>
      <c r="V113">
        <v>46</v>
      </c>
      <c r="W113">
        <v>42</v>
      </c>
      <c r="X113" s="5">
        <v>88</v>
      </c>
      <c r="Y113" s="5">
        <v>110</v>
      </c>
      <c r="Z113" s="33">
        <v>25</v>
      </c>
      <c r="AA113" s="5">
        <v>135</v>
      </c>
      <c r="AB113" s="9">
        <v>185</v>
      </c>
      <c r="AI113" t="s">
        <v>707</v>
      </c>
      <c r="AJ113" t="s">
        <v>707</v>
      </c>
      <c r="AK113" t="s">
        <v>707</v>
      </c>
      <c r="AL113" t="s">
        <v>707</v>
      </c>
      <c r="AO113" t="s">
        <v>3007</v>
      </c>
      <c r="AQ113" s="24">
        <v>46084.523402777777</v>
      </c>
    </row>
    <row r="114" spans="2:43" x14ac:dyDescent="0.25">
      <c r="B114">
        <v>98</v>
      </c>
      <c r="C114">
        <v>5</v>
      </c>
      <c r="D114" s="21">
        <v>46087.4375</v>
      </c>
      <c r="E114">
        <v>174</v>
      </c>
      <c r="F114" t="s">
        <v>707</v>
      </c>
      <c r="G114">
        <v>73372163332</v>
      </c>
      <c r="H114" t="s">
        <v>1689</v>
      </c>
      <c r="I114" s="5">
        <v>39</v>
      </c>
      <c r="J114" t="s">
        <v>1102</v>
      </c>
      <c r="K114" s="18">
        <v>42351</v>
      </c>
      <c r="L114" t="s">
        <v>1690</v>
      </c>
      <c r="M114" t="s">
        <v>1691</v>
      </c>
      <c r="N114">
        <v>36204111340</v>
      </c>
      <c r="O114" t="s">
        <v>1692</v>
      </c>
      <c r="P114" t="s">
        <v>1693</v>
      </c>
      <c r="Q114" t="s">
        <v>1692</v>
      </c>
      <c r="R114" s="34" t="s">
        <v>2384</v>
      </c>
      <c r="S114" t="s">
        <v>293</v>
      </c>
      <c r="T114" t="s">
        <v>294</v>
      </c>
      <c r="U114" t="s">
        <v>295</v>
      </c>
      <c r="V114">
        <v>37</v>
      </c>
      <c r="W114">
        <v>25</v>
      </c>
      <c r="X114" s="5">
        <v>62</v>
      </c>
      <c r="Y114" s="5">
        <v>77.5</v>
      </c>
      <c r="Z114" s="33">
        <v>25</v>
      </c>
      <c r="AA114" s="5">
        <v>102.5</v>
      </c>
      <c r="AB114" s="9">
        <v>141.5</v>
      </c>
      <c r="AI114" t="s">
        <v>707</v>
      </c>
      <c r="AJ114" t="s">
        <v>707</v>
      </c>
      <c r="AK114" t="s">
        <v>707</v>
      </c>
      <c r="AL114" t="s">
        <v>707</v>
      </c>
      <c r="AO114" t="s">
        <v>3008</v>
      </c>
      <c r="AQ114" s="24">
        <v>46084.5234375</v>
      </c>
    </row>
    <row r="115" spans="2:43" x14ac:dyDescent="0.25">
      <c r="B115">
        <v>99</v>
      </c>
      <c r="C115">
        <v>5</v>
      </c>
      <c r="D115" s="21">
        <v>46087.4375</v>
      </c>
      <c r="E115" s="31">
        <v>56</v>
      </c>
      <c r="F115" t="s">
        <v>707</v>
      </c>
      <c r="G115">
        <v>73374463454</v>
      </c>
      <c r="H115" t="s">
        <v>1694</v>
      </c>
      <c r="I115" s="5">
        <v>44</v>
      </c>
      <c r="J115" t="s">
        <v>1097</v>
      </c>
      <c r="K115" s="18">
        <v>42223</v>
      </c>
      <c r="L115" t="s">
        <v>1695</v>
      </c>
      <c r="M115" t="s">
        <v>1696</v>
      </c>
      <c r="N115">
        <v>36705333359</v>
      </c>
      <c r="O115" t="s">
        <v>1697</v>
      </c>
      <c r="P115" t="s">
        <v>1695</v>
      </c>
      <c r="Q115" t="s">
        <v>1697</v>
      </c>
      <c r="R115" s="34" t="s">
        <v>1111</v>
      </c>
      <c r="S115" t="s">
        <v>613</v>
      </c>
      <c r="T115" t="s">
        <v>614</v>
      </c>
      <c r="U115" t="s">
        <v>615</v>
      </c>
      <c r="V115">
        <v>42</v>
      </c>
      <c r="W115">
        <v>37</v>
      </c>
      <c r="X115" s="5">
        <v>79</v>
      </c>
      <c r="Y115" s="5">
        <v>98.75</v>
      </c>
      <c r="Z115" s="33">
        <v>25</v>
      </c>
      <c r="AA115" s="5">
        <v>123.75</v>
      </c>
      <c r="AB115" s="9">
        <v>167.75</v>
      </c>
      <c r="AI115" t="s">
        <v>707</v>
      </c>
      <c r="AK115" t="s">
        <v>707</v>
      </c>
      <c r="AO115" t="s">
        <v>3009</v>
      </c>
      <c r="AQ115" s="24">
        <v>46084.5234375</v>
      </c>
    </row>
    <row r="116" spans="2:43" x14ac:dyDescent="0.25">
      <c r="B116">
        <v>100</v>
      </c>
      <c r="C116">
        <v>5</v>
      </c>
      <c r="D116" s="21">
        <v>46087.4375</v>
      </c>
      <c r="E116" s="19">
        <v>251</v>
      </c>
      <c r="F116" t="s">
        <v>707</v>
      </c>
      <c r="G116">
        <v>73445841885</v>
      </c>
      <c r="H116" t="s">
        <v>1698</v>
      </c>
      <c r="I116" s="5">
        <v>0</v>
      </c>
      <c r="J116" t="s">
        <v>1098</v>
      </c>
      <c r="K116" s="18">
        <v>42376</v>
      </c>
      <c r="L116" t="s">
        <v>1699</v>
      </c>
      <c r="M116" t="s">
        <v>1700</v>
      </c>
      <c r="N116">
        <v>36305662059</v>
      </c>
      <c r="O116" t="s">
        <v>1701</v>
      </c>
      <c r="P116" t="s">
        <v>1699</v>
      </c>
      <c r="Q116" t="s">
        <v>1701</v>
      </c>
      <c r="R116" s="34" t="s">
        <v>2392</v>
      </c>
      <c r="S116" t="s">
        <v>354</v>
      </c>
      <c r="T116" t="s">
        <v>355</v>
      </c>
      <c r="U116" t="s">
        <v>356</v>
      </c>
      <c r="X116" s="5">
        <v>0</v>
      </c>
      <c r="Y116" s="5">
        <v>0</v>
      </c>
      <c r="Z116" s="33">
        <v>25</v>
      </c>
      <c r="AA116" s="5">
        <v>25</v>
      </c>
      <c r="AB116" s="9">
        <v>25</v>
      </c>
      <c r="AK116" t="s">
        <v>707</v>
      </c>
      <c r="AN116" t="s">
        <v>2895</v>
      </c>
      <c r="AO116" t="s">
        <v>3010</v>
      </c>
      <c r="AQ116" s="24">
        <v>46084.5234375</v>
      </c>
    </row>
    <row r="117" spans="2:43" x14ac:dyDescent="0.25">
      <c r="B117">
        <v>101</v>
      </c>
      <c r="C117">
        <v>5</v>
      </c>
      <c r="D117" s="21">
        <v>46087.4375</v>
      </c>
      <c r="E117">
        <v>99</v>
      </c>
      <c r="F117" t="s">
        <v>707</v>
      </c>
      <c r="G117">
        <v>73404064475</v>
      </c>
      <c r="H117" t="s">
        <v>1702</v>
      </c>
      <c r="I117" s="5">
        <v>28</v>
      </c>
      <c r="J117" t="s">
        <v>1096</v>
      </c>
      <c r="K117" s="18">
        <v>42357</v>
      </c>
      <c r="L117" t="s">
        <v>1703</v>
      </c>
      <c r="M117" s="3" t="s">
        <v>2419</v>
      </c>
      <c r="N117">
        <v>36202261256</v>
      </c>
      <c r="O117" t="s">
        <v>1704</v>
      </c>
      <c r="P117" t="s">
        <v>1705</v>
      </c>
      <c r="Q117" t="s">
        <v>1704</v>
      </c>
      <c r="R117" s="34"/>
      <c r="V117">
        <v>44</v>
      </c>
      <c r="W117">
        <v>40</v>
      </c>
      <c r="X117" s="5">
        <v>84</v>
      </c>
      <c r="Y117" s="5">
        <v>105</v>
      </c>
      <c r="Z117" s="33">
        <v>25</v>
      </c>
      <c r="AA117" s="5">
        <v>130</v>
      </c>
      <c r="AB117" s="9">
        <v>158</v>
      </c>
      <c r="AI117" t="s">
        <v>707</v>
      </c>
      <c r="AO117" t="s">
        <v>3011</v>
      </c>
      <c r="AQ117" s="24">
        <v>46084.5234375</v>
      </c>
    </row>
    <row r="118" spans="2:43" x14ac:dyDescent="0.25">
      <c r="B118">
        <v>102</v>
      </c>
      <c r="C118">
        <v>6</v>
      </c>
      <c r="D118" s="21">
        <v>46087.4375</v>
      </c>
      <c r="E118">
        <v>112</v>
      </c>
      <c r="F118" t="s">
        <v>707</v>
      </c>
      <c r="G118">
        <v>73444982628</v>
      </c>
      <c r="H118" t="s">
        <v>1706</v>
      </c>
      <c r="I118" s="5">
        <v>20</v>
      </c>
      <c r="J118" t="s">
        <v>1096</v>
      </c>
      <c r="K118" s="18">
        <v>42460</v>
      </c>
      <c r="L118" t="s">
        <v>1707</v>
      </c>
      <c r="M118" t="s">
        <v>1708</v>
      </c>
      <c r="N118">
        <v>36704889993</v>
      </c>
      <c r="O118" t="s">
        <v>1709</v>
      </c>
      <c r="P118" t="s">
        <v>1707</v>
      </c>
      <c r="Q118" t="s">
        <v>1709</v>
      </c>
      <c r="R118" s="34" t="s">
        <v>1113</v>
      </c>
      <c r="S118" t="s">
        <v>350</v>
      </c>
      <c r="T118" t="s">
        <v>351</v>
      </c>
      <c r="U118" t="s">
        <v>352</v>
      </c>
      <c r="V118">
        <v>45</v>
      </c>
      <c r="W118">
        <v>43</v>
      </c>
      <c r="X118" s="5">
        <v>88</v>
      </c>
      <c r="Y118" s="5">
        <v>110</v>
      </c>
      <c r="Z118" s="33">
        <v>25</v>
      </c>
      <c r="AA118" s="5">
        <v>135</v>
      </c>
      <c r="AB118" s="9">
        <v>155</v>
      </c>
      <c r="AH118" t="s">
        <v>1710</v>
      </c>
      <c r="AI118" t="s">
        <v>707</v>
      </c>
      <c r="AK118" t="s">
        <v>707</v>
      </c>
      <c r="AO118" t="s">
        <v>3012</v>
      </c>
      <c r="AQ118" s="24">
        <v>46084.523460648146</v>
      </c>
    </row>
    <row r="119" spans="2:43" x14ac:dyDescent="0.25">
      <c r="B119">
        <v>228</v>
      </c>
      <c r="C119">
        <v>1</v>
      </c>
      <c r="D119" s="21">
        <v>46099.604166666664</v>
      </c>
      <c r="E119" s="19">
        <v>213</v>
      </c>
      <c r="F119" t="s">
        <v>707</v>
      </c>
      <c r="G119">
        <v>73479398119</v>
      </c>
      <c r="H119" t="s">
        <v>1711</v>
      </c>
      <c r="I119" s="5">
        <v>43</v>
      </c>
      <c r="J119" t="s">
        <v>1712</v>
      </c>
      <c r="K119" s="18">
        <v>42519</v>
      </c>
      <c r="L119" t="s">
        <v>1713</v>
      </c>
      <c r="M119" t="s">
        <v>1714</v>
      </c>
      <c r="N119">
        <v>36302648787</v>
      </c>
      <c r="O119" t="s">
        <v>1715</v>
      </c>
      <c r="P119" t="s">
        <v>1716</v>
      </c>
      <c r="Q119" t="s">
        <v>1715</v>
      </c>
      <c r="R119" s="34" t="s">
        <v>2847</v>
      </c>
      <c r="S119" t="s">
        <v>1717</v>
      </c>
      <c r="T119" t="s">
        <v>2842</v>
      </c>
      <c r="U119" t="s">
        <v>2843</v>
      </c>
      <c r="V119">
        <v>29</v>
      </c>
      <c r="W119">
        <v>20</v>
      </c>
      <c r="X119" s="5">
        <v>49</v>
      </c>
      <c r="Y119" s="5">
        <v>61.25</v>
      </c>
      <c r="Z119" s="33">
        <v>25</v>
      </c>
      <c r="AA119" s="5">
        <v>86.25</v>
      </c>
      <c r="AB119" s="9">
        <v>129.25</v>
      </c>
      <c r="AI119" t="s">
        <v>707</v>
      </c>
      <c r="AJ119" t="s">
        <v>707</v>
      </c>
      <c r="AK119" t="s">
        <v>707</v>
      </c>
      <c r="AL119" t="s">
        <v>707</v>
      </c>
      <c r="AO119" t="s">
        <v>3013</v>
      </c>
      <c r="AQ119" s="24">
        <v>46097.359074074076</v>
      </c>
    </row>
    <row r="120" spans="2:43" x14ac:dyDescent="0.25">
      <c r="B120">
        <v>103</v>
      </c>
      <c r="C120">
        <v>6</v>
      </c>
      <c r="D120" s="21">
        <v>46087.4375</v>
      </c>
      <c r="E120" s="31">
        <v>39</v>
      </c>
      <c r="F120" t="s">
        <v>707</v>
      </c>
      <c r="G120">
        <v>73448027877</v>
      </c>
      <c r="H120" t="s">
        <v>1718</v>
      </c>
      <c r="I120" s="5">
        <v>44</v>
      </c>
      <c r="J120" t="s">
        <v>1098</v>
      </c>
      <c r="K120" s="18">
        <v>42324</v>
      </c>
      <c r="L120" t="s">
        <v>1719</v>
      </c>
      <c r="M120" t="s">
        <v>1720</v>
      </c>
      <c r="N120">
        <v>36303353548</v>
      </c>
      <c r="O120" t="s">
        <v>1721</v>
      </c>
      <c r="P120" t="s">
        <v>1719</v>
      </c>
      <c r="Q120" t="s">
        <v>1721</v>
      </c>
      <c r="R120" s="34"/>
      <c r="V120">
        <v>40</v>
      </c>
      <c r="W120">
        <v>42</v>
      </c>
      <c r="X120" s="5">
        <v>82</v>
      </c>
      <c r="Y120" s="5">
        <v>102.5</v>
      </c>
      <c r="Z120" s="33">
        <v>25</v>
      </c>
      <c r="AA120" s="5">
        <v>127.5</v>
      </c>
      <c r="AB120" s="9">
        <v>171.5</v>
      </c>
      <c r="AI120" t="s">
        <v>707</v>
      </c>
      <c r="AJ120" t="s">
        <v>707</v>
      </c>
      <c r="AO120" t="s">
        <v>3014</v>
      </c>
      <c r="AQ120" s="24">
        <v>46084.523460648146</v>
      </c>
    </row>
    <row r="121" spans="2:43" x14ac:dyDescent="0.25">
      <c r="B121">
        <v>104</v>
      </c>
      <c r="C121">
        <v>6</v>
      </c>
      <c r="D121" s="21">
        <v>46087.4375</v>
      </c>
      <c r="E121">
        <v>228</v>
      </c>
      <c r="F121" t="s">
        <v>707</v>
      </c>
      <c r="G121">
        <v>73435670363</v>
      </c>
      <c r="H121" t="s">
        <v>1722</v>
      </c>
      <c r="I121" s="5">
        <v>14</v>
      </c>
      <c r="J121" t="s">
        <v>1096</v>
      </c>
      <c r="K121" s="18">
        <v>42490</v>
      </c>
      <c r="L121" t="s">
        <v>1723</v>
      </c>
      <c r="M121" t="s">
        <v>1724</v>
      </c>
      <c r="N121">
        <v>36703888334</v>
      </c>
      <c r="O121" t="s">
        <v>1725</v>
      </c>
      <c r="P121" t="s">
        <v>1726</v>
      </c>
      <c r="Q121" t="s">
        <v>1725</v>
      </c>
      <c r="R121" s="34" t="s">
        <v>1111</v>
      </c>
      <c r="S121" t="s">
        <v>613</v>
      </c>
      <c r="T121" t="s">
        <v>614</v>
      </c>
      <c r="U121" t="s">
        <v>615</v>
      </c>
      <c r="V121">
        <v>31</v>
      </c>
      <c r="W121">
        <v>34</v>
      </c>
      <c r="X121" s="5">
        <v>65</v>
      </c>
      <c r="Y121" s="5">
        <v>81.25</v>
      </c>
      <c r="Z121" s="33">
        <v>24.5</v>
      </c>
      <c r="AA121" s="5">
        <v>105.75</v>
      </c>
      <c r="AB121" s="9">
        <v>119.75</v>
      </c>
      <c r="AH121" t="s">
        <v>1727</v>
      </c>
      <c r="AI121" t="s">
        <v>707</v>
      </c>
      <c r="AJ121" t="s">
        <v>707</v>
      </c>
      <c r="AM121" t="s">
        <v>1728</v>
      </c>
      <c r="AO121" t="s">
        <v>3015</v>
      </c>
      <c r="AQ121" s="24">
        <v>46084.523460648146</v>
      </c>
    </row>
    <row r="122" spans="2:43" x14ac:dyDescent="0.25">
      <c r="B122">
        <v>105</v>
      </c>
      <c r="C122">
        <v>6</v>
      </c>
      <c r="D122" s="21">
        <v>46087.4375</v>
      </c>
      <c r="E122">
        <v>91</v>
      </c>
      <c r="F122" t="s">
        <v>707</v>
      </c>
      <c r="G122">
        <v>73343614061</v>
      </c>
      <c r="H122" t="s">
        <v>1729</v>
      </c>
      <c r="I122" s="5">
        <v>26</v>
      </c>
      <c r="J122" t="s">
        <v>1101</v>
      </c>
      <c r="K122" s="18">
        <v>42116</v>
      </c>
      <c r="L122" t="s">
        <v>1730</v>
      </c>
      <c r="M122" t="s">
        <v>1731</v>
      </c>
      <c r="N122">
        <v>36309662500</v>
      </c>
      <c r="O122" t="s">
        <v>1732</v>
      </c>
      <c r="P122" t="s">
        <v>1730</v>
      </c>
      <c r="Q122" t="s">
        <v>1732</v>
      </c>
      <c r="R122" s="34" t="s">
        <v>2393</v>
      </c>
      <c r="S122" t="s">
        <v>313</v>
      </c>
      <c r="T122" t="s">
        <v>314</v>
      </c>
      <c r="U122" t="s">
        <v>315</v>
      </c>
      <c r="V122">
        <v>42</v>
      </c>
      <c r="W122">
        <v>45</v>
      </c>
      <c r="X122" s="5">
        <v>87</v>
      </c>
      <c r="Y122" s="5">
        <v>108.75</v>
      </c>
      <c r="Z122" s="33">
        <v>25</v>
      </c>
      <c r="AA122" s="5">
        <v>133.75</v>
      </c>
      <c r="AB122" s="9">
        <v>159.75</v>
      </c>
      <c r="AI122" t="s">
        <v>707</v>
      </c>
      <c r="AO122" t="s">
        <v>3016</v>
      </c>
      <c r="AQ122" s="24">
        <v>46084.523460648146</v>
      </c>
    </row>
    <row r="123" spans="2:43" x14ac:dyDescent="0.25">
      <c r="E123" s="19">
        <v>245</v>
      </c>
      <c r="G123">
        <v>73421145639</v>
      </c>
      <c r="H123" t="s">
        <v>1733</v>
      </c>
      <c r="I123" s="5">
        <v>0</v>
      </c>
      <c r="J123" t="s">
        <v>1101</v>
      </c>
      <c r="K123" s="18">
        <v>42433</v>
      </c>
      <c r="L123" t="s">
        <v>1734</v>
      </c>
      <c r="M123" t="s">
        <v>1735</v>
      </c>
      <c r="N123">
        <v>36205977583</v>
      </c>
      <c r="O123" t="s">
        <v>1736</v>
      </c>
      <c r="P123" t="s">
        <v>1737</v>
      </c>
      <c r="Q123" t="s">
        <v>1736</v>
      </c>
      <c r="R123" s="34" t="s">
        <v>2825</v>
      </c>
      <c r="S123" t="s">
        <v>141</v>
      </c>
      <c r="T123" t="s">
        <v>142</v>
      </c>
      <c r="U123" t="s">
        <v>143</v>
      </c>
      <c r="V123">
        <v>26</v>
      </c>
      <c r="W123">
        <v>22</v>
      </c>
      <c r="X123" s="5">
        <v>48</v>
      </c>
      <c r="Y123" s="5">
        <v>60</v>
      </c>
      <c r="Z123" s="33">
        <v>23.08</v>
      </c>
      <c r="AA123" s="5">
        <v>83.08</v>
      </c>
      <c r="AB123" s="9">
        <v>83.08</v>
      </c>
      <c r="AK123" t="s">
        <v>707</v>
      </c>
      <c r="AO123" t="s">
        <v>3017</v>
      </c>
    </row>
    <row r="124" spans="2:43" x14ac:dyDescent="0.25">
      <c r="B124">
        <v>106</v>
      </c>
      <c r="C124">
        <v>7</v>
      </c>
      <c r="D124" s="21">
        <v>46087.4375</v>
      </c>
      <c r="E124">
        <v>223</v>
      </c>
      <c r="F124" t="s">
        <v>707</v>
      </c>
      <c r="G124">
        <v>73397733022</v>
      </c>
      <c r="H124" t="s">
        <v>1738</v>
      </c>
      <c r="I124" s="5">
        <v>19</v>
      </c>
      <c r="J124" t="s">
        <v>1101</v>
      </c>
      <c r="K124" s="18">
        <v>42396</v>
      </c>
      <c r="L124" t="s">
        <v>1739</v>
      </c>
      <c r="M124" t="s">
        <v>1740</v>
      </c>
      <c r="N124">
        <v>36304732013</v>
      </c>
      <c r="O124" t="s">
        <v>1741</v>
      </c>
      <c r="P124" t="s">
        <v>1738</v>
      </c>
      <c r="Q124" t="s">
        <v>1741</v>
      </c>
      <c r="R124" s="34" t="s">
        <v>2391</v>
      </c>
      <c r="S124" t="s">
        <v>544</v>
      </c>
      <c r="T124" t="s">
        <v>545</v>
      </c>
      <c r="U124" t="s">
        <v>147</v>
      </c>
      <c r="V124">
        <v>36</v>
      </c>
      <c r="W124">
        <v>29</v>
      </c>
      <c r="X124" s="5">
        <v>65</v>
      </c>
      <c r="Y124" s="5">
        <v>81.25</v>
      </c>
      <c r="Z124" s="33">
        <v>25</v>
      </c>
      <c r="AA124" s="5">
        <v>106.25</v>
      </c>
      <c r="AB124" s="9">
        <v>125.25</v>
      </c>
      <c r="AL124" t="s">
        <v>707</v>
      </c>
      <c r="AO124" t="s">
        <v>3018</v>
      </c>
      <c r="AQ124" s="24">
        <v>46084.523298611108</v>
      </c>
    </row>
    <row r="125" spans="2:43" x14ac:dyDescent="0.25">
      <c r="B125">
        <v>107</v>
      </c>
      <c r="C125">
        <v>7</v>
      </c>
      <c r="D125" s="21">
        <v>46087.4375</v>
      </c>
      <c r="E125">
        <v>132</v>
      </c>
      <c r="F125" t="s">
        <v>707</v>
      </c>
      <c r="G125">
        <v>73390867220</v>
      </c>
      <c r="H125" t="s">
        <v>1742</v>
      </c>
      <c r="I125" s="5">
        <v>31</v>
      </c>
      <c r="J125" t="s">
        <v>1100</v>
      </c>
      <c r="K125" s="18">
        <v>42333</v>
      </c>
      <c r="L125" t="s">
        <v>1743</v>
      </c>
      <c r="M125" t="s">
        <v>1744</v>
      </c>
      <c r="N125">
        <v>36302977967</v>
      </c>
      <c r="O125" t="s">
        <v>1745</v>
      </c>
      <c r="P125" t="s">
        <v>1742</v>
      </c>
      <c r="Q125" t="s">
        <v>1745</v>
      </c>
      <c r="R125" s="34"/>
      <c r="V125">
        <v>40</v>
      </c>
      <c r="W125">
        <v>37</v>
      </c>
      <c r="X125" s="5">
        <v>77</v>
      </c>
      <c r="Y125" s="5">
        <v>96.25</v>
      </c>
      <c r="Z125" s="33">
        <v>25</v>
      </c>
      <c r="AA125" s="5">
        <v>121.25</v>
      </c>
      <c r="AB125" s="9">
        <v>152.25</v>
      </c>
      <c r="AI125" t="s">
        <v>707</v>
      </c>
      <c r="AJ125" t="s">
        <v>707</v>
      </c>
      <c r="AK125" t="s">
        <v>707</v>
      </c>
      <c r="AL125" t="s">
        <v>707</v>
      </c>
      <c r="AO125" t="s">
        <v>3019</v>
      </c>
      <c r="AQ125" s="24">
        <v>46084.523298611108</v>
      </c>
    </row>
    <row r="126" spans="2:43" x14ac:dyDescent="0.25">
      <c r="B126">
        <v>108</v>
      </c>
      <c r="C126">
        <v>7</v>
      </c>
      <c r="D126" s="21">
        <v>46087.4375</v>
      </c>
      <c r="E126">
        <v>149</v>
      </c>
      <c r="F126" t="s">
        <v>707</v>
      </c>
      <c r="G126">
        <v>73369223976</v>
      </c>
      <c r="H126" t="s">
        <v>1746</v>
      </c>
      <c r="I126" s="5">
        <v>48</v>
      </c>
      <c r="J126" t="s">
        <v>1099</v>
      </c>
      <c r="K126" s="18">
        <v>42217</v>
      </c>
      <c r="L126" t="s">
        <v>1747</v>
      </c>
      <c r="M126" t="s">
        <v>1748</v>
      </c>
      <c r="N126">
        <v>36707014726</v>
      </c>
      <c r="O126" t="s">
        <v>1749</v>
      </c>
      <c r="P126" t="s">
        <v>1747</v>
      </c>
      <c r="Q126" t="s">
        <v>1749</v>
      </c>
      <c r="R126" s="34" t="s">
        <v>2394</v>
      </c>
      <c r="S126" t="s">
        <v>246</v>
      </c>
      <c r="T126" t="s">
        <v>247</v>
      </c>
      <c r="U126" t="s">
        <v>147</v>
      </c>
      <c r="V126">
        <v>31</v>
      </c>
      <c r="W126">
        <v>31</v>
      </c>
      <c r="X126" s="5">
        <v>62</v>
      </c>
      <c r="Y126" s="5">
        <v>77.5</v>
      </c>
      <c r="Z126" s="33">
        <v>23.18</v>
      </c>
      <c r="AA126" s="5">
        <v>100.68</v>
      </c>
      <c r="AB126" s="9">
        <v>148.68</v>
      </c>
      <c r="AI126" t="s">
        <v>707</v>
      </c>
      <c r="AJ126" t="s">
        <v>707</v>
      </c>
      <c r="AL126" t="s">
        <v>707</v>
      </c>
      <c r="AO126" t="s">
        <v>3020</v>
      </c>
      <c r="AQ126" s="24">
        <v>46084.523298611108</v>
      </c>
    </row>
    <row r="127" spans="2:43" x14ac:dyDescent="0.25">
      <c r="B127">
        <v>109</v>
      </c>
      <c r="C127">
        <v>8</v>
      </c>
      <c r="D127" s="21">
        <v>46087.4375</v>
      </c>
      <c r="E127" s="31">
        <v>54</v>
      </c>
      <c r="F127" t="s">
        <v>707</v>
      </c>
      <c r="G127">
        <v>73474201462</v>
      </c>
      <c r="H127" t="s">
        <v>1750</v>
      </c>
      <c r="I127" s="5">
        <v>43</v>
      </c>
      <c r="J127" t="s">
        <v>1097</v>
      </c>
      <c r="K127" s="18">
        <v>42434</v>
      </c>
      <c r="L127" t="s">
        <v>1751</v>
      </c>
      <c r="M127" t="s">
        <v>1752</v>
      </c>
      <c r="N127">
        <v>36702773554</v>
      </c>
      <c r="O127" t="s">
        <v>1753</v>
      </c>
      <c r="P127" t="s">
        <v>1754</v>
      </c>
      <c r="Q127" t="s">
        <v>1753</v>
      </c>
      <c r="R127" s="34" t="s">
        <v>2395</v>
      </c>
      <c r="S127" t="s">
        <v>260</v>
      </c>
      <c r="T127" t="s">
        <v>261</v>
      </c>
      <c r="U127" t="s">
        <v>147</v>
      </c>
      <c r="V127">
        <v>43</v>
      </c>
      <c r="W127">
        <v>37</v>
      </c>
      <c r="X127" s="5">
        <v>80</v>
      </c>
      <c r="Y127" s="5">
        <v>100</v>
      </c>
      <c r="Z127" s="33">
        <v>25</v>
      </c>
      <c r="AA127" s="5">
        <v>125</v>
      </c>
      <c r="AB127" s="9">
        <v>168</v>
      </c>
      <c r="AI127" t="s">
        <v>707</v>
      </c>
      <c r="AJ127" t="s">
        <v>707</v>
      </c>
      <c r="AK127" t="s">
        <v>707</v>
      </c>
      <c r="AL127" t="s">
        <v>707</v>
      </c>
      <c r="AO127" t="s">
        <v>3021</v>
      </c>
      <c r="AQ127" s="24">
        <v>46084.523495370369</v>
      </c>
    </row>
    <row r="128" spans="2:43" x14ac:dyDescent="0.25">
      <c r="E128" s="19">
        <v>242</v>
      </c>
      <c r="G128">
        <v>74503209492</v>
      </c>
      <c r="H128" t="s">
        <v>1755</v>
      </c>
      <c r="I128" s="5">
        <v>0</v>
      </c>
      <c r="J128" t="s">
        <v>1756</v>
      </c>
      <c r="K128" s="18">
        <v>41827</v>
      </c>
      <c r="L128" t="s">
        <v>1757</v>
      </c>
      <c r="M128" t="s">
        <v>1758</v>
      </c>
      <c r="N128">
        <v>36300859711</v>
      </c>
      <c r="O128" t="s">
        <v>1759</v>
      </c>
      <c r="P128" t="s">
        <v>1757</v>
      </c>
      <c r="Q128" t="s">
        <v>1759</v>
      </c>
      <c r="R128" s="34" t="s">
        <v>2846</v>
      </c>
      <c r="S128" t="s">
        <v>1401</v>
      </c>
      <c r="T128" t="s">
        <v>2840</v>
      </c>
      <c r="U128" t="s">
        <v>2841</v>
      </c>
      <c r="V128">
        <v>17</v>
      </c>
      <c r="W128">
        <v>33</v>
      </c>
      <c r="X128" s="5">
        <v>50</v>
      </c>
      <c r="Y128" s="5">
        <v>62.5</v>
      </c>
      <c r="Z128" s="33">
        <v>24.09</v>
      </c>
      <c r="AA128" s="5">
        <v>86.59</v>
      </c>
      <c r="AB128" s="9">
        <v>86.59</v>
      </c>
      <c r="AI128" t="s">
        <v>707</v>
      </c>
      <c r="AO128" t="s">
        <v>3022</v>
      </c>
    </row>
    <row r="129" spans="2:43" x14ac:dyDescent="0.25">
      <c r="B129">
        <v>110</v>
      </c>
      <c r="C129">
        <v>8</v>
      </c>
      <c r="D129" s="21">
        <v>46087.4375</v>
      </c>
      <c r="E129">
        <v>177</v>
      </c>
      <c r="F129" t="s">
        <v>707</v>
      </c>
      <c r="G129">
        <v>73514820336</v>
      </c>
      <c r="H129" t="s">
        <v>1760</v>
      </c>
      <c r="I129" s="5">
        <v>26</v>
      </c>
      <c r="J129" t="s">
        <v>1761</v>
      </c>
      <c r="K129" s="18">
        <v>42350</v>
      </c>
      <c r="L129" t="s">
        <v>1762</v>
      </c>
      <c r="M129" t="s">
        <v>1763</v>
      </c>
      <c r="N129">
        <v>36302228432</v>
      </c>
      <c r="O129" t="s">
        <v>1764</v>
      </c>
      <c r="P129" t="s">
        <v>1765</v>
      </c>
      <c r="Q129" t="s">
        <v>1764</v>
      </c>
      <c r="R129" s="34" t="s">
        <v>2396</v>
      </c>
      <c r="S129" t="s">
        <v>633</v>
      </c>
      <c r="T129" t="s">
        <v>634</v>
      </c>
      <c r="U129" t="s">
        <v>635</v>
      </c>
      <c r="V129">
        <v>36</v>
      </c>
      <c r="W129">
        <v>36</v>
      </c>
      <c r="X129" s="5">
        <v>72</v>
      </c>
      <c r="Y129" s="5">
        <v>90</v>
      </c>
      <c r="Z129" s="33">
        <v>24.55</v>
      </c>
      <c r="AA129" s="5">
        <v>114.55</v>
      </c>
      <c r="AB129" s="9">
        <v>140.55000000000001</v>
      </c>
      <c r="AD129" t="s">
        <v>707</v>
      </c>
      <c r="AJ129" t="s">
        <v>707</v>
      </c>
      <c r="AO129" t="s">
        <v>3023</v>
      </c>
      <c r="AQ129" s="24">
        <v>46084.523495370369</v>
      </c>
    </row>
    <row r="130" spans="2:43" x14ac:dyDescent="0.25">
      <c r="B130">
        <v>111</v>
      </c>
      <c r="C130">
        <v>8</v>
      </c>
      <c r="D130" s="21">
        <v>46087.4375</v>
      </c>
      <c r="E130" s="31">
        <v>37</v>
      </c>
      <c r="F130" t="s">
        <v>707</v>
      </c>
      <c r="G130">
        <v>73433974468</v>
      </c>
      <c r="H130" t="s">
        <v>1766</v>
      </c>
      <c r="I130" s="5">
        <v>48</v>
      </c>
      <c r="J130" t="s">
        <v>1101</v>
      </c>
      <c r="K130" s="18">
        <v>42468</v>
      </c>
      <c r="L130" t="s">
        <v>1767</v>
      </c>
      <c r="M130" t="s">
        <v>1768</v>
      </c>
      <c r="N130">
        <v>36307182358</v>
      </c>
      <c r="O130" t="s">
        <v>1769</v>
      </c>
      <c r="P130" t="s">
        <v>1770</v>
      </c>
      <c r="Q130" t="s">
        <v>1769</v>
      </c>
      <c r="R130" s="34" t="s">
        <v>1117</v>
      </c>
      <c r="S130" t="s">
        <v>285</v>
      </c>
      <c r="T130" t="s">
        <v>286</v>
      </c>
      <c r="U130" t="s">
        <v>287</v>
      </c>
      <c r="V130">
        <v>43</v>
      </c>
      <c r="W130">
        <v>36</v>
      </c>
      <c r="X130" s="5">
        <v>79</v>
      </c>
      <c r="Y130" s="5">
        <v>98.75</v>
      </c>
      <c r="Z130" s="33">
        <v>25</v>
      </c>
      <c r="AA130" s="5">
        <v>123.75</v>
      </c>
      <c r="AB130" s="9">
        <v>171.75</v>
      </c>
      <c r="AD130" t="s">
        <v>707</v>
      </c>
      <c r="AL130" t="s">
        <v>707</v>
      </c>
      <c r="AO130" t="s">
        <v>3024</v>
      </c>
      <c r="AQ130" s="24">
        <v>46084.523495370369</v>
      </c>
    </row>
    <row r="131" spans="2:43" x14ac:dyDescent="0.25">
      <c r="B131">
        <v>112</v>
      </c>
      <c r="C131">
        <v>8</v>
      </c>
      <c r="D131" s="21">
        <v>46087.4375</v>
      </c>
      <c r="E131">
        <v>134</v>
      </c>
      <c r="F131" t="s">
        <v>707</v>
      </c>
      <c r="G131">
        <v>73475494565</v>
      </c>
      <c r="H131" t="s">
        <v>1771</v>
      </c>
      <c r="I131" s="5">
        <v>40</v>
      </c>
      <c r="J131" t="s">
        <v>1101</v>
      </c>
      <c r="K131" s="18">
        <v>42395</v>
      </c>
      <c r="L131" t="s">
        <v>1772</v>
      </c>
      <c r="M131" t="s">
        <v>1773</v>
      </c>
      <c r="N131">
        <v>36304310141</v>
      </c>
      <c r="O131" t="s">
        <v>1774</v>
      </c>
      <c r="P131" t="s">
        <v>1775</v>
      </c>
      <c r="Q131" t="s">
        <v>1774</v>
      </c>
      <c r="R131" s="34" t="s">
        <v>2397</v>
      </c>
      <c r="S131" t="s">
        <v>488</v>
      </c>
      <c r="T131" t="s">
        <v>489</v>
      </c>
      <c r="U131" t="s">
        <v>147</v>
      </c>
      <c r="V131">
        <v>35</v>
      </c>
      <c r="W131">
        <v>34</v>
      </c>
      <c r="X131" s="5">
        <v>69</v>
      </c>
      <c r="Y131" s="5">
        <v>86.25</v>
      </c>
      <c r="Z131" s="33">
        <v>25</v>
      </c>
      <c r="AA131" s="5">
        <v>111.25</v>
      </c>
      <c r="AB131" s="9">
        <v>151.25</v>
      </c>
      <c r="AI131" t="s">
        <v>707</v>
      </c>
      <c r="AJ131" t="s">
        <v>707</v>
      </c>
      <c r="AK131" t="s">
        <v>707</v>
      </c>
      <c r="AL131" t="s">
        <v>707</v>
      </c>
      <c r="AO131" t="s">
        <v>3025</v>
      </c>
      <c r="AQ131" s="24">
        <v>46084.523495370369</v>
      </c>
    </row>
    <row r="132" spans="2:43" x14ac:dyDescent="0.25">
      <c r="B132">
        <v>113</v>
      </c>
      <c r="C132">
        <v>9</v>
      </c>
      <c r="D132" s="21">
        <v>46087.4375</v>
      </c>
      <c r="E132">
        <v>204</v>
      </c>
      <c r="F132" t="s">
        <v>707</v>
      </c>
      <c r="G132">
        <v>73364247714</v>
      </c>
      <c r="H132" t="s">
        <v>1776</v>
      </c>
      <c r="I132" s="5">
        <v>27</v>
      </c>
      <c r="J132" t="s">
        <v>1096</v>
      </c>
      <c r="K132" s="18">
        <v>42173</v>
      </c>
      <c r="L132" t="s">
        <v>1777</v>
      </c>
      <c r="M132" t="s">
        <v>1778</v>
      </c>
      <c r="N132">
        <v>36709451104</v>
      </c>
      <c r="O132" t="s">
        <v>1779</v>
      </c>
      <c r="P132" t="s">
        <v>1777</v>
      </c>
      <c r="Q132" t="s">
        <v>1779</v>
      </c>
      <c r="R132" s="34" t="s">
        <v>1108</v>
      </c>
      <c r="S132" t="s">
        <v>219</v>
      </c>
      <c r="T132" t="s">
        <v>220</v>
      </c>
      <c r="U132" t="s">
        <v>221</v>
      </c>
      <c r="V132">
        <v>31</v>
      </c>
      <c r="W132">
        <v>36</v>
      </c>
      <c r="X132" s="5">
        <v>67</v>
      </c>
      <c r="Y132" s="5">
        <v>83.75</v>
      </c>
      <c r="Z132" s="33">
        <v>23.63</v>
      </c>
      <c r="AA132" s="5">
        <v>107.38</v>
      </c>
      <c r="AB132" s="9">
        <v>134.38</v>
      </c>
      <c r="AI132" t="s">
        <v>707</v>
      </c>
      <c r="AJ132" t="s">
        <v>707</v>
      </c>
      <c r="AK132" t="s">
        <v>707</v>
      </c>
      <c r="AL132" t="s">
        <v>707</v>
      </c>
      <c r="AO132" t="s">
        <v>3026</v>
      </c>
      <c r="AQ132" s="24">
        <v>46084.523518518516</v>
      </c>
    </row>
    <row r="133" spans="2:43" x14ac:dyDescent="0.25">
      <c r="E133" s="19">
        <v>246</v>
      </c>
      <c r="G133">
        <v>73385719960</v>
      </c>
      <c r="H133" t="s">
        <v>1780</v>
      </c>
      <c r="I133" s="5">
        <v>0</v>
      </c>
      <c r="J133" t="s">
        <v>1100</v>
      </c>
      <c r="K133" s="18">
        <v>42254</v>
      </c>
      <c r="L133" t="s">
        <v>1781</v>
      </c>
      <c r="M133" t="s">
        <v>1782</v>
      </c>
      <c r="N133">
        <v>36308151132</v>
      </c>
      <c r="O133" t="s">
        <v>1783</v>
      </c>
      <c r="P133" t="s">
        <v>1784</v>
      </c>
      <c r="Q133" t="s">
        <v>1783</v>
      </c>
      <c r="R133" s="34"/>
      <c r="V133">
        <v>28</v>
      </c>
      <c r="W133">
        <v>19</v>
      </c>
      <c r="X133" s="5">
        <v>47</v>
      </c>
      <c r="Y133" s="5">
        <v>58.75</v>
      </c>
      <c r="Z133" s="33">
        <v>24.09</v>
      </c>
      <c r="AA133" s="5">
        <v>82.84</v>
      </c>
      <c r="AB133" s="9">
        <v>82.84</v>
      </c>
      <c r="AI133" t="s">
        <v>707</v>
      </c>
      <c r="AJ133" t="s">
        <v>707</v>
      </c>
      <c r="AL133" t="s">
        <v>707</v>
      </c>
      <c r="AO133" t="s">
        <v>3027</v>
      </c>
    </row>
    <row r="134" spans="2:43" x14ac:dyDescent="0.25">
      <c r="B134">
        <v>114</v>
      </c>
      <c r="C134">
        <v>9</v>
      </c>
      <c r="D134" s="21">
        <v>46087.4375</v>
      </c>
      <c r="E134">
        <v>217</v>
      </c>
      <c r="F134" t="s">
        <v>707</v>
      </c>
      <c r="G134">
        <v>73453319030</v>
      </c>
      <c r="H134" t="s">
        <v>1785</v>
      </c>
      <c r="I134" s="5">
        <v>21</v>
      </c>
      <c r="J134" t="s">
        <v>1097</v>
      </c>
      <c r="K134" s="18">
        <v>42285</v>
      </c>
      <c r="L134" t="s">
        <v>1786</v>
      </c>
      <c r="M134" t="s">
        <v>1787</v>
      </c>
      <c r="N134">
        <v>36303501243</v>
      </c>
      <c r="O134" t="s">
        <v>1788</v>
      </c>
      <c r="P134" t="s">
        <v>1789</v>
      </c>
      <c r="Q134" t="s">
        <v>1788</v>
      </c>
      <c r="R134" s="34" t="s">
        <v>2398</v>
      </c>
      <c r="S134" t="s">
        <v>566</v>
      </c>
      <c r="T134" t="s">
        <v>567</v>
      </c>
      <c r="U134" t="s">
        <v>568</v>
      </c>
      <c r="V134">
        <v>37</v>
      </c>
      <c r="W134">
        <v>28</v>
      </c>
      <c r="X134" s="5">
        <v>65</v>
      </c>
      <c r="Y134" s="5">
        <v>81.25</v>
      </c>
      <c r="Z134" s="33">
        <v>24.55</v>
      </c>
      <c r="AA134" s="5">
        <v>105.8</v>
      </c>
      <c r="AB134" s="9">
        <v>126.8</v>
      </c>
      <c r="AD134" t="s">
        <v>707</v>
      </c>
      <c r="AI134" t="s">
        <v>707</v>
      </c>
      <c r="AJ134" t="s">
        <v>707</v>
      </c>
      <c r="AK134" t="s">
        <v>707</v>
      </c>
      <c r="AL134" t="s">
        <v>707</v>
      </c>
      <c r="AO134" t="s">
        <v>3028</v>
      </c>
      <c r="AQ134" s="24">
        <v>46084.523518518516</v>
      </c>
    </row>
    <row r="135" spans="2:43" x14ac:dyDescent="0.25">
      <c r="B135">
        <v>115</v>
      </c>
      <c r="C135">
        <v>9</v>
      </c>
      <c r="D135" s="21">
        <v>46087.4375</v>
      </c>
      <c r="E135">
        <v>170</v>
      </c>
      <c r="F135" t="s">
        <v>707</v>
      </c>
      <c r="G135">
        <v>73434586908</v>
      </c>
      <c r="H135" t="s">
        <v>1790</v>
      </c>
      <c r="I135" s="5">
        <v>25</v>
      </c>
      <c r="J135" t="s">
        <v>1100</v>
      </c>
      <c r="K135" s="18">
        <v>42525</v>
      </c>
      <c r="L135" t="s">
        <v>1791</v>
      </c>
      <c r="M135" t="s">
        <v>1792</v>
      </c>
      <c r="N135">
        <v>36703182703</v>
      </c>
      <c r="O135" t="s">
        <v>1793</v>
      </c>
      <c r="P135" t="s">
        <v>1794</v>
      </c>
      <c r="Q135" t="s">
        <v>1793</v>
      </c>
      <c r="R135" s="34"/>
      <c r="V135">
        <v>40</v>
      </c>
      <c r="W135">
        <v>35</v>
      </c>
      <c r="X135" s="5">
        <v>75</v>
      </c>
      <c r="Y135" s="5">
        <v>93.75</v>
      </c>
      <c r="Z135" s="33">
        <v>25</v>
      </c>
      <c r="AA135" s="5">
        <v>118.75</v>
      </c>
      <c r="AB135" s="9">
        <v>143.75</v>
      </c>
      <c r="AD135" t="s">
        <v>707</v>
      </c>
      <c r="AI135" t="s">
        <v>707</v>
      </c>
      <c r="AJ135" t="s">
        <v>707</v>
      </c>
      <c r="AK135" t="s">
        <v>707</v>
      </c>
      <c r="AL135" t="s">
        <v>707</v>
      </c>
      <c r="AO135" t="s">
        <v>3029</v>
      </c>
      <c r="AQ135" s="24">
        <v>46084.523518518516</v>
      </c>
    </row>
    <row r="136" spans="2:43" x14ac:dyDescent="0.25">
      <c r="E136" s="19">
        <v>243</v>
      </c>
      <c r="G136">
        <v>73448493800</v>
      </c>
      <c r="H136" t="s">
        <v>1795</v>
      </c>
      <c r="I136" s="5">
        <v>0</v>
      </c>
      <c r="J136" t="s">
        <v>1100</v>
      </c>
      <c r="K136" s="18">
        <v>42388</v>
      </c>
      <c r="L136" t="s">
        <v>1796</v>
      </c>
      <c r="M136" t="s">
        <v>1797</v>
      </c>
      <c r="N136">
        <v>36202555953</v>
      </c>
      <c r="O136" t="s">
        <v>1798</v>
      </c>
      <c r="P136" t="s">
        <v>1799</v>
      </c>
      <c r="Q136" t="s">
        <v>1798</v>
      </c>
      <c r="R136" s="34"/>
      <c r="V136">
        <v>27</v>
      </c>
      <c r="W136">
        <v>23</v>
      </c>
      <c r="X136" s="5">
        <v>50</v>
      </c>
      <c r="Y136" s="5">
        <v>62.5</v>
      </c>
      <c r="Z136" s="33">
        <v>23.5</v>
      </c>
      <c r="AA136" s="5">
        <v>86</v>
      </c>
      <c r="AB136" s="9">
        <v>86</v>
      </c>
      <c r="AE136" t="s">
        <v>707</v>
      </c>
      <c r="AI136" t="s">
        <v>707</v>
      </c>
      <c r="AJ136" t="s">
        <v>707</v>
      </c>
      <c r="AK136" t="s">
        <v>707</v>
      </c>
      <c r="AL136" t="s">
        <v>707</v>
      </c>
      <c r="AO136" t="s">
        <v>3030</v>
      </c>
    </row>
    <row r="137" spans="2:43" x14ac:dyDescent="0.25">
      <c r="B137">
        <v>229</v>
      </c>
      <c r="C137">
        <v>1</v>
      </c>
      <c r="D137" s="21">
        <v>46097.635416666664</v>
      </c>
      <c r="E137">
        <v>189</v>
      </c>
      <c r="F137" t="s">
        <v>707</v>
      </c>
      <c r="G137">
        <v>73375507384</v>
      </c>
      <c r="H137" t="s">
        <v>1800</v>
      </c>
      <c r="I137" s="5">
        <v>34</v>
      </c>
      <c r="J137" t="s">
        <v>1100</v>
      </c>
      <c r="K137" s="18">
        <v>42280</v>
      </c>
      <c r="L137" t="s">
        <v>1801</v>
      </c>
      <c r="M137" t="s">
        <v>1802</v>
      </c>
      <c r="N137">
        <v>36205958779</v>
      </c>
      <c r="O137" t="s">
        <v>1803</v>
      </c>
      <c r="P137" t="s">
        <v>1804</v>
      </c>
      <c r="Q137" t="s">
        <v>1805</v>
      </c>
      <c r="R137" s="34"/>
      <c r="V137">
        <v>36</v>
      </c>
      <c r="W137">
        <v>28</v>
      </c>
      <c r="X137" s="5">
        <v>64</v>
      </c>
      <c r="Y137" s="5">
        <v>80</v>
      </c>
      <c r="Z137" s="33">
        <v>23.5</v>
      </c>
      <c r="AA137" s="5">
        <v>103.5</v>
      </c>
      <c r="AB137" s="9">
        <v>137.5</v>
      </c>
      <c r="AI137" t="s">
        <v>707</v>
      </c>
      <c r="AJ137" t="s">
        <v>707</v>
      </c>
      <c r="AK137" t="s">
        <v>707</v>
      </c>
      <c r="AL137" t="s">
        <v>707</v>
      </c>
      <c r="AO137" t="s">
        <v>3031</v>
      </c>
      <c r="AQ137" s="24">
        <v>46084.523344907408</v>
      </c>
    </row>
    <row r="138" spans="2:43" x14ac:dyDescent="0.25">
      <c r="B138">
        <v>116</v>
      </c>
      <c r="C138">
        <v>1</v>
      </c>
      <c r="D138" s="21">
        <v>46087.489583333336</v>
      </c>
      <c r="E138" s="31">
        <v>81</v>
      </c>
      <c r="F138" t="s">
        <v>707</v>
      </c>
      <c r="G138">
        <v>73355999451</v>
      </c>
      <c r="H138" t="s">
        <v>1806</v>
      </c>
      <c r="I138" s="5">
        <v>35</v>
      </c>
      <c r="J138" t="s">
        <v>1105</v>
      </c>
      <c r="K138" s="18">
        <v>42278</v>
      </c>
      <c r="L138" t="s">
        <v>1807</v>
      </c>
      <c r="M138" t="s">
        <v>1808</v>
      </c>
      <c r="N138">
        <v>36306006095</v>
      </c>
      <c r="O138" t="s">
        <v>1809</v>
      </c>
      <c r="P138" t="s">
        <v>1810</v>
      </c>
      <c r="Q138" t="s">
        <v>1809</v>
      </c>
      <c r="R138" s="34" t="s">
        <v>2396</v>
      </c>
      <c r="S138" t="s">
        <v>633</v>
      </c>
      <c r="T138" t="s">
        <v>634</v>
      </c>
      <c r="U138" t="s">
        <v>635</v>
      </c>
      <c r="V138">
        <v>45</v>
      </c>
      <c r="W138">
        <v>37</v>
      </c>
      <c r="X138" s="5">
        <v>82</v>
      </c>
      <c r="Y138" s="5">
        <v>102.5</v>
      </c>
      <c r="Z138" s="33">
        <v>25</v>
      </c>
      <c r="AA138" s="5">
        <v>127.5</v>
      </c>
      <c r="AB138" s="9">
        <v>162.5</v>
      </c>
      <c r="AD138" t="s">
        <v>707</v>
      </c>
      <c r="AH138" t="s">
        <v>1811</v>
      </c>
      <c r="AI138" t="s">
        <v>707</v>
      </c>
      <c r="AJ138" t="s">
        <v>707</v>
      </c>
      <c r="AK138" t="s">
        <v>707</v>
      </c>
      <c r="AL138" t="s">
        <v>707</v>
      </c>
      <c r="AO138" t="s">
        <v>3032</v>
      </c>
      <c r="AQ138" s="24">
        <v>46084.523530092592</v>
      </c>
    </row>
    <row r="139" spans="2:43" x14ac:dyDescent="0.25">
      <c r="B139">
        <v>117</v>
      </c>
      <c r="C139">
        <v>1</v>
      </c>
      <c r="D139" s="21">
        <v>46087.489583333336</v>
      </c>
      <c r="E139">
        <v>183</v>
      </c>
      <c r="F139" t="s">
        <v>707</v>
      </c>
      <c r="G139">
        <v>73417361762</v>
      </c>
      <c r="H139" t="s">
        <v>1812</v>
      </c>
      <c r="I139" s="5">
        <v>36</v>
      </c>
      <c r="J139" t="s">
        <v>1100</v>
      </c>
      <c r="K139" s="18">
        <v>42275</v>
      </c>
      <c r="L139" t="s">
        <v>1813</v>
      </c>
      <c r="M139" t="s">
        <v>1814</v>
      </c>
      <c r="N139">
        <v>36302144901</v>
      </c>
      <c r="O139" t="s">
        <v>1815</v>
      </c>
      <c r="P139" t="s">
        <v>1813</v>
      </c>
      <c r="Q139" t="s">
        <v>1815</v>
      </c>
      <c r="R139" s="34" t="s">
        <v>1112</v>
      </c>
      <c r="S139" t="s">
        <v>44</v>
      </c>
      <c r="T139" t="s">
        <v>45</v>
      </c>
      <c r="U139" t="s">
        <v>46</v>
      </c>
      <c r="V139">
        <v>31</v>
      </c>
      <c r="W139">
        <v>32</v>
      </c>
      <c r="X139" s="5">
        <v>63</v>
      </c>
      <c r="Y139" s="5">
        <v>78.75</v>
      </c>
      <c r="Z139" s="33">
        <v>25</v>
      </c>
      <c r="AA139" s="5">
        <v>103.75</v>
      </c>
      <c r="AB139" s="9">
        <v>139.75</v>
      </c>
      <c r="AK139" t="s">
        <v>707</v>
      </c>
      <c r="AO139" t="s">
        <v>3033</v>
      </c>
      <c r="AQ139" s="24">
        <v>46084.523530092592</v>
      </c>
    </row>
    <row r="140" spans="2:43" x14ac:dyDescent="0.25">
      <c r="B140">
        <v>118</v>
      </c>
      <c r="C140">
        <v>1</v>
      </c>
      <c r="D140" s="21">
        <v>46087.489583333336</v>
      </c>
      <c r="E140">
        <v>179</v>
      </c>
      <c r="F140" t="s">
        <v>707</v>
      </c>
      <c r="G140">
        <v>73445782588</v>
      </c>
      <c r="H140" t="s">
        <v>1816</v>
      </c>
      <c r="I140" s="5">
        <v>44</v>
      </c>
      <c r="J140" t="s">
        <v>1098</v>
      </c>
      <c r="K140" s="18">
        <v>42193</v>
      </c>
      <c r="L140" t="s">
        <v>1817</v>
      </c>
      <c r="M140" t="s">
        <v>1818</v>
      </c>
      <c r="N140">
        <v>36303883445</v>
      </c>
      <c r="O140" t="s">
        <v>1819</v>
      </c>
      <c r="P140" t="s">
        <v>1817</v>
      </c>
      <c r="Q140" t="s">
        <v>1819</v>
      </c>
      <c r="R140" s="34" t="s">
        <v>2392</v>
      </c>
      <c r="S140" t="s">
        <v>354</v>
      </c>
      <c r="T140" t="s">
        <v>355</v>
      </c>
      <c r="U140" t="s">
        <v>356</v>
      </c>
      <c r="V140">
        <v>36</v>
      </c>
      <c r="W140">
        <v>21</v>
      </c>
      <c r="X140" s="5">
        <v>57</v>
      </c>
      <c r="Y140" s="5">
        <v>71.25</v>
      </c>
      <c r="Z140" s="33">
        <v>25</v>
      </c>
      <c r="AA140" s="5">
        <v>96.25</v>
      </c>
      <c r="AB140" s="9">
        <v>140.25</v>
      </c>
      <c r="AG140" t="s">
        <v>707</v>
      </c>
      <c r="AI140" t="s">
        <v>707</v>
      </c>
      <c r="AJ140" t="s">
        <v>707</v>
      </c>
      <c r="AK140" t="s">
        <v>707</v>
      </c>
      <c r="AL140" t="s">
        <v>707</v>
      </c>
      <c r="AO140" t="s">
        <v>3034</v>
      </c>
      <c r="AQ140" s="24">
        <v>46084.523530092592</v>
      </c>
    </row>
    <row r="141" spans="2:43" x14ac:dyDescent="0.25">
      <c r="B141">
        <v>119</v>
      </c>
      <c r="C141">
        <v>1</v>
      </c>
      <c r="D141" s="21">
        <v>46087.489583333336</v>
      </c>
      <c r="E141">
        <v>139</v>
      </c>
      <c r="F141" t="s">
        <v>707</v>
      </c>
      <c r="G141">
        <v>73458608976</v>
      </c>
      <c r="H141" t="s">
        <v>1820</v>
      </c>
      <c r="I141" s="5">
        <v>34</v>
      </c>
      <c r="J141" t="s">
        <v>1100</v>
      </c>
      <c r="K141" s="18">
        <v>42497</v>
      </c>
      <c r="L141" t="s">
        <v>1821</v>
      </c>
      <c r="M141" t="s">
        <v>1822</v>
      </c>
      <c r="N141">
        <v>36205180618</v>
      </c>
      <c r="O141" t="s">
        <v>1823</v>
      </c>
      <c r="P141" t="s">
        <v>1824</v>
      </c>
      <c r="Q141" t="s">
        <v>1823</v>
      </c>
      <c r="R141" s="34"/>
      <c r="V141">
        <v>40</v>
      </c>
      <c r="W141">
        <v>33</v>
      </c>
      <c r="X141" s="5">
        <v>73</v>
      </c>
      <c r="Y141" s="5">
        <v>91.25</v>
      </c>
      <c r="Z141" s="33">
        <v>25</v>
      </c>
      <c r="AA141" s="5">
        <v>116.25</v>
      </c>
      <c r="AB141" s="9">
        <v>150.25</v>
      </c>
      <c r="AI141" t="s">
        <v>707</v>
      </c>
      <c r="AJ141" t="s">
        <v>707</v>
      </c>
      <c r="AK141" t="s">
        <v>707</v>
      </c>
      <c r="AL141" t="s">
        <v>707</v>
      </c>
      <c r="AO141" t="s">
        <v>3035</v>
      </c>
      <c r="AQ141" s="24">
        <v>46084.523530092592</v>
      </c>
    </row>
    <row r="142" spans="2:43" x14ac:dyDescent="0.25">
      <c r="B142">
        <v>120</v>
      </c>
      <c r="C142">
        <v>2</v>
      </c>
      <c r="D142" s="21">
        <v>46087.489583333336</v>
      </c>
      <c r="E142" s="31">
        <v>82</v>
      </c>
      <c r="F142" t="s">
        <v>707</v>
      </c>
      <c r="G142">
        <v>73434085476</v>
      </c>
      <c r="H142" t="s">
        <v>1825</v>
      </c>
      <c r="I142" s="5">
        <v>46</v>
      </c>
      <c r="J142" t="s">
        <v>1102</v>
      </c>
      <c r="K142" s="18">
        <v>42429</v>
      </c>
      <c r="L142" t="s">
        <v>1826</v>
      </c>
      <c r="M142" t="s">
        <v>1827</v>
      </c>
      <c r="N142">
        <v>36204973197</v>
      </c>
      <c r="O142" t="s">
        <v>1828</v>
      </c>
      <c r="P142" t="s">
        <v>1829</v>
      </c>
      <c r="Q142" t="s">
        <v>1828</v>
      </c>
      <c r="R142" s="34" t="s">
        <v>2376</v>
      </c>
      <c r="S142" t="s">
        <v>470</v>
      </c>
      <c r="T142" t="s">
        <v>471</v>
      </c>
      <c r="U142" t="s">
        <v>472</v>
      </c>
      <c r="V142">
        <v>38</v>
      </c>
      <c r="W142">
        <v>35</v>
      </c>
      <c r="X142" s="5">
        <v>73</v>
      </c>
      <c r="Y142" s="5">
        <v>91.25</v>
      </c>
      <c r="Z142" s="33">
        <v>25</v>
      </c>
      <c r="AA142" s="5">
        <v>116.25</v>
      </c>
      <c r="AB142" s="9">
        <v>162.25</v>
      </c>
      <c r="AD142" t="s">
        <v>707</v>
      </c>
      <c r="AI142" t="s">
        <v>707</v>
      </c>
      <c r="AJ142" t="s">
        <v>707</v>
      </c>
      <c r="AK142" t="s">
        <v>707</v>
      </c>
      <c r="AL142" t="s">
        <v>707</v>
      </c>
      <c r="AO142" t="s">
        <v>3036</v>
      </c>
      <c r="AQ142" s="24">
        <v>46084.523553240739</v>
      </c>
    </row>
    <row r="143" spans="2:43" x14ac:dyDescent="0.25">
      <c r="B143">
        <v>121</v>
      </c>
      <c r="C143">
        <v>2</v>
      </c>
      <c r="D143" s="21">
        <v>46087.489583333336</v>
      </c>
      <c r="E143">
        <v>137</v>
      </c>
      <c r="F143" t="s">
        <v>707</v>
      </c>
      <c r="G143">
        <v>73452211159</v>
      </c>
      <c r="H143" t="s">
        <v>1830</v>
      </c>
      <c r="I143" s="5">
        <v>37</v>
      </c>
      <c r="J143" t="s">
        <v>1104</v>
      </c>
      <c r="K143" s="18">
        <v>42373</v>
      </c>
      <c r="L143" t="s">
        <v>1831</v>
      </c>
      <c r="M143" t="s">
        <v>1832</v>
      </c>
      <c r="N143">
        <v>36204233363</v>
      </c>
      <c r="O143" t="s">
        <v>1833</v>
      </c>
      <c r="P143" t="s">
        <v>1834</v>
      </c>
      <c r="Q143" t="s">
        <v>1833</v>
      </c>
      <c r="R143" s="34" t="s">
        <v>2399</v>
      </c>
      <c r="S143" t="s">
        <v>209</v>
      </c>
      <c r="T143" t="s">
        <v>210</v>
      </c>
      <c r="U143" t="s">
        <v>147</v>
      </c>
      <c r="V143">
        <v>37</v>
      </c>
      <c r="W143">
        <v>34</v>
      </c>
      <c r="X143" s="5">
        <v>71</v>
      </c>
      <c r="Y143" s="5">
        <v>88.75</v>
      </c>
      <c r="Z143" s="33">
        <v>25</v>
      </c>
      <c r="AA143" s="5">
        <v>113.75</v>
      </c>
      <c r="AB143" s="9">
        <v>150.75</v>
      </c>
      <c r="AI143" t="s">
        <v>707</v>
      </c>
      <c r="AJ143" t="s">
        <v>707</v>
      </c>
      <c r="AK143" t="s">
        <v>707</v>
      </c>
      <c r="AL143" t="s">
        <v>707</v>
      </c>
      <c r="AO143" t="s">
        <v>3037</v>
      </c>
      <c r="AQ143" s="24">
        <v>46084.523553240739</v>
      </c>
    </row>
    <row r="144" spans="2:43" x14ac:dyDescent="0.25">
      <c r="B144">
        <v>122</v>
      </c>
      <c r="C144">
        <v>2</v>
      </c>
      <c r="D144" s="21">
        <v>46087.489583333336</v>
      </c>
      <c r="E144" s="31">
        <v>44</v>
      </c>
      <c r="F144" t="s">
        <v>707</v>
      </c>
      <c r="G144">
        <v>73377365054</v>
      </c>
      <c r="H144" t="s">
        <v>1835</v>
      </c>
      <c r="I144" s="5">
        <v>50</v>
      </c>
      <c r="J144" t="s">
        <v>1104</v>
      </c>
      <c r="K144" s="18">
        <v>42235</v>
      </c>
      <c r="L144" t="s">
        <v>1836</v>
      </c>
      <c r="M144" t="s">
        <v>1837</v>
      </c>
      <c r="N144">
        <v>36203423036</v>
      </c>
      <c r="O144" t="s">
        <v>1838</v>
      </c>
      <c r="P144" t="s">
        <v>1839</v>
      </c>
      <c r="Q144" t="s">
        <v>1838</v>
      </c>
      <c r="R144" s="34" t="s">
        <v>2398</v>
      </c>
      <c r="S144" t="s">
        <v>566</v>
      </c>
      <c r="T144" t="s">
        <v>567</v>
      </c>
      <c r="U144" t="s">
        <v>568</v>
      </c>
      <c r="V144">
        <v>44</v>
      </c>
      <c r="W144">
        <v>32</v>
      </c>
      <c r="X144" s="5">
        <v>76</v>
      </c>
      <c r="Y144" s="5">
        <v>95</v>
      </c>
      <c r="Z144" s="33">
        <v>25</v>
      </c>
      <c r="AA144" s="5">
        <v>120</v>
      </c>
      <c r="AB144" s="9">
        <v>170</v>
      </c>
      <c r="AI144" t="s">
        <v>707</v>
      </c>
      <c r="AJ144" t="s">
        <v>707</v>
      </c>
      <c r="AK144" t="s">
        <v>707</v>
      </c>
      <c r="AL144" t="s">
        <v>707</v>
      </c>
      <c r="AO144" t="s">
        <v>3038</v>
      </c>
      <c r="AQ144" s="24">
        <v>46084.523553240739</v>
      </c>
    </row>
    <row r="145" spans="2:43" x14ac:dyDescent="0.25">
      <c r="B145">
        <v>230</v>
      </c>
      <c r="C145">
        <v>1</v>
      </c>
      <c r="D145" s="21">
        <v>46097.635416666664</v>
      </c>
      <c r="E145" s="31">
        <v>21</v>
      </c>
      <c r="F145" t="s">
        <v>707</v>
      </c>
      <c r="G145">
        <v>73403038256</v>
      </c>
      <c r="H145" t="s">
        <v>1840</v>
      </c>
      <c r="I145" s="5">
        <v>44</v>
      </c>
      <c r="J145" t="s">
        <v>1098</v>
      </c>
      <c r="K145" s="18">
        <v>42204</v>
      </c>
      <c r="L145" t="s">
        <v>1841</v>
      </c>
      <c r="M145" t="s">
        <v>1842</v>
      </c>
      <c r="N145">
        <v>36303718959</v>
      </c>
      <c r="O145" t="s">
        <v>1843</v>
      </c>
      <c r="P145" t="s">
        <v>1844</v>
      </c>
      <c r="Q145" t="s">
        <v>1843</v>
      </c>
      <c r="R145" s="34"/>
      <c r="V145">
        <v>46</v>
      </c>
      <c r="W145">
        <v>39</v>
      </c>
      <c r="X145" s="5">
        <v>85</v>
      </c>
      <c r="Y145" s="5">
        <v>106.25</v>
      </c>
      <c r="Z145" s="33">
        <v>25</v>
      </c>
      <c r="AA145" s="5">
        <v>131.25</v>
      </c>
      <c r="AB145" s="9">
        <v>175.25</v>
      </c>
      <c r="AI145" t="s">
        <v>707</v>
      </c>
      <c r="AJ145" t="s">
        <v>707</v>
      </c>
      <c r="AK145" t="s">
        <v>707</v>
      </c>
      <c r="AM145" t="s">
        <v>1845</v>
      </c>
      <c r="AO145" t="s">
        <v>3039</v>
      </c>
      <c r="AQ145" s="24">
        <v>46084.523344907408</v>
      </c>
    </row>
    <row r="146" spans="2:43" x14ac:dyDescent="0.25">
      <c r="B146">
        <v>231</v>
      </c>
      <c r="C146">
        <v>1</v>
      </c>
      <c r="D146" s="21">
        <v>46097.635416666664</v>
      </c>
      <c r="E146">
        <v>206</v>
      </c>
      <c r="F146" t="s">
        <v>707</v>
      </c>
      <c r="G146">
        <v>73373316392</v>
      </c>
      <c r="H146" t="s">
        <v>1846</v>
      </c>
      <c r="I146" s="5">
        <v>37</v>
      </c>
      <c r="J146" t="s">
        <v>1100</v>
      </c>
      <c r="K146" s="18">
        <v>42234</v>
      </c>
      <c r="L146" t="s">
        <v>1847</v>
      </c>
      <c r="M146" t="s">
        <v>1848</v>
      </c>
      <c r="N146">
        <v>36703250020</v>
      </c>
      <c r="O146" t="s">
        <v>1849</v>
      </c>
      <c r="P146" t="s">
        <v>1850</v>
      </c>
      <c r="Q146" t="s">
        <v>1849</v>
      </c>
      <c r="R146" s="34"/>
      <c r="V146">
        <v>35</v>
      </c>
      <c r="W146">
        <v>23</v>
      </c>
      <c r="X146" s="5">
        <v>58</v>
      </c>
      <c r="Y146" s="5">
        <v>72.5</v>
      </c>
      <c r="Z146" s="33">
        <v>24.44</v>
      </c>
      <c r="AA146" s="5">
        <v>96.94</v>
      </c>
      <c r="AB146" s="9">
        <v>133.94</v>
      </c>
      <c r="AI146" t="s">
        <v>707</v>
      </c>
      <c r="AJ146" t="s">
        <v>707</v>
      </c>
      <c r="AK146" t="s">
        <v>707</v>
      </c>
      <c r="AL146" t="s">
        <v>707</v>
      </c>
      <c r="AO146" t="s">
        <v>3040</v>
      </c>
      <c r="AQ146" s="24">
        <v>46084.523344907408</v>
      </c>
    </row>
    <row r="147" spans="2:43" x14ac:dyDescent="0.25">
      <c r="B147">
        <v>123</v>
      </c>
      <c r="C147">
        <v>2</v>
      </c>
      <c r="D147" s="21">
        <v>46087.489583333336</v>
      </c>
      <c r="E147">
        <v>212</v>
      </c>
      <c r="F147" t="s">
        <v>707</v>
      </c>
      <c r="G147">
        <v>74214111000</v>
      </c>
      <c r="H147" t="s">
        <v>1851</v>
      </c>
      <c r="I147" s="5">
        <v>0</v>
      </c>
      <c r="J147" t="s">
        <v>1852</v>
      </c>
      <c r="K147" s="18">
        <v>42123</v>
      </c>
      <c r="L147" t="s">
        <v>1853</v>
      </c>
      <c r="M147" t="s">
        <v>1854</v>
      </c>
      <c r="N147">
        <v>36204920989</v>
      </c>
      <c r="O147" t="s">
        <v>1855</v>
      </c>
      <c r="P147" t="s">
        <v>1856</v>
      </c>
      <c r="Q147" t="s">
        <v>1855</v>
      </c>
      <c r="R147" s="34" t="s">
        <v>2846</v>
      </c>
      <c r="S147" t="s">
        <v>1401</v>
      </c>
      <c r="T147" t="s">
        <v>2840</v>
      </c>
      <c r="U147" t="s">
        <v>2841</v>
      </c>
      <c r="V147">
        <v>43</v>
      </c>
      <c r="W147">
        <v>41</v>
      </c>
      <c r="X147" s="5">
        <v>84</v>
      </c>
      <c r="Y147" s="5">
        <v>105</v>
      </c>
      <c r="Z147" s="33">
        <v>25</v>
      </c>
      <c r="AA147" s="5">
        <v>130</v>
      </c>
      <c r="AB147" s="9">
        <v>130</v>
      </c>
      <c r="AI147" t="s">
        <v>707</v>
      </c>
      <c r="AJ147" t="s">
        <v>707</v>
      </c>
      <c r="AK147" t="s">
        <v>707</v>
      </c>
      <c r="AL147" t="s">
        <v>707</v>
      </c>
      <c r="AN147" t="s">
        <v>2895</v>
      </c>
      <c r="AO147" t="s">
        <v>3041</v>
      </c>
      <c r="AQ147" s="24">
        <v>46084.523553240739</v>
      </c>
    </row>
    <row r="148" spans="2:43" x14ac:dyDescent="0.25">
      <c r="B148">
        <v>124</v>
      </c>
      <c r="C148">
        <v>3</v>
      </c>
      <c r="D148" s="21">
        <v>46087.489583333336</v>
      </c>
      <c r="E148">
        <v>216</v>
      </c>
      <c r="F148" t="s">
        <v>707</v>
      </c>
      <c r="G148">
        <v>73398242252</v>
      </c>
      <c r="H148" t="s">
        <v>1857</v>
      </c>
      <c r="I148" s="5">
        <v>28</v>
      </c>
      <c r="J148" t="s">
        <v>1347</v>
      </c>
      <c r="K148" s="18">
        <v>42177</v>
      </c>
      <c r="L148" t="s">
        <v>1858</v>
      </c>
      <c r="M148" t="s">
        <v>1859</v>
      </c>
      <c r="N148">
        <v>36203246456</v>
      </c>
      <c r="O148" t="s">
        <v>1860</v>
      </c>
      <c r="P148" t="s">
        <v>1861</v>
      </c>
      <c r="Q148" t="s">
        <v>1860</v>
      </c>
      <c r="R148" s="34" t="s">
        <v>2392</v>
      </c>
      <c r="S148" t="s">
        <v>354</v>
      </c>
      <c r="T148" t="s">
        <v>355</v>
      </c>
      <c r="U148" t="s">
        <v>356</v>
      </c>
      <c r="V148">
        <v>34</v>
      </c>
      <c r="W148">
        <v>26</v>
      </c>
      <c r="X148" s="5">
        <v>60</v>
      </c>
      <c r="Y148" s="5">
        <v>75</v>
      </c>
      <c r="Z148" s="33">
        <v>24.5</v>
      </c>
      <c r="AA148" s="5">
        <v>99.5</v>
      </c>
      <c r="AB148" s="9">
        <v>127.5</v>
      </c>
      <c r="AI148" t="s">
        <v>707</v>
      </c>
      <c r="AJ148" t="s">
        <v>707</v>
      </c>
      <c r="AK148" t="s">
        <v>707</v>
      </c>
      <c r="AO148" t="s">
        <v>3042</v>
      </c>
      <c r="AQ148" s="24">
        <v>46084.523564814815</v>
      </c>
    </row>
    <row r="149" spans="2:43" x14ac:dyDescent="0.25">
      <c r="B149">
        <v>125</v>
      </c>
      <c r="C149">
        <v>3</v>
      </c>
      <c r="D149" s="21">
        <v>46087.489583333336</v>
      </c>
      <c r="E149">
        <v>210</v>
      </c>
      <c r="F149" t="s">
        <v>707</v>
      </c>
      <c r="G149">
        <v>73397706179</v>
      </c>
      <c r="H149" t="s">
        <v>1862</v>
      </c>
      <c r="I149" s="5">
        <v>0</v>
      </c>
      <c r="J149" t="s">
        <v>1097</v>
      </c>
      <c r="K149" s="18">
        <v>42334</v>
      </c>
      <c r="L149" t="s">
        <v>1863</v>
      </c>
      <c r="M149" t="s">
        <v>1864</v>
      </c>
      <c r="N149">
        <v>36205788691</v>
      </c>
      <c r="O149" t="s">
        <v>1865</v>
      </c>
      <c r="P149" t="s">
        <v>1866</v>
      </c>
      <c r="Q149" t="s">
        <v>1865</v>
      </c>
      <c r="R149" s="34" t="s">
        <v>2400</v>
      </c>
      <c r="S149" t="s">
        <v>520</v>
      </c>
      <c r="T149" t="s">
        <v>521</v>
      </c>
      <c r="U149" t="s">
        <v>147</v>
      </c>
      <c r="V149">
        <v>44</v>
      </c>
      <c r="W149">
        <v>42</v>
      </c>
      <c r="X149" s="5">
        <v>86</v>
      </c>
      <c r="Y149" s="5">
        <v>107.5</v>
      </c>
      <c r="Z149" s="33">
        <v>25</v>
      </c>
      <c r="AA149" s="5">
        <v>132.5</v>
      </c>
      <c r="AB149" s="9">
        <v>132.5</v>
      </c>
      <c r="AI149" t="s">
        <v>707</v>
      </c>
      <c r="AJ149" t="s">
        <v>707</v>
      </c>
      <c r="AK149" t="s">
        <v>707</v>
      </c>
      <c r="AN149" t="s">
        <v>2895</v>
      </c>
      <c r="AO149" t="s">
        <v>3043</v>
      </c>
      <c r="AQ149" s="24">
        <v>46084.523564814815</v>
      </c>
    </row>
    <row r="150" spans="2:43" x14ac:dyDescent="0.25">
      <c r="B150">
        <v>126</v>
      </c>
      <c r="C150">
        <v>3</v>
      </c>
      <c r="D150" s="21">
        <v>46087.489583333336</v>
      </c>
      <c r="E150">
        <v>193</v>
      </c>
      <c r="F150" t="s">
        <v>707</v>
      </c>
      <c r="G150">
        <v>73461374108</v>
      </c>
      <c r="H150" t="s">
        <v>1867</v>
      </c>
      <c r="I150" s="5">
        <v>23</v>
      </c>
      <c r="J150" t="s">
        <v>1105</v>
      </c>
      <c r="K150" s="18">
        <v>42430</v>
      </c>
      <c r="L150" t="s">
        <v>1868</v>
      </c>
      <c r="M150" t="s">
        <v>1869</v>
      </c>
      <c r="N150">
        <v>36203189747</v>
      </c>
      <c r="O150" t="s">
        <v>1870</v>
      </c>
      <c r="P150" t="s">
        <v>1871</v>
      </c>
      <c r="Q150" t="s">
        <v>1870</v>
      </c>
      <c r="R150" s="34" t="s">
        <v>2867</v>
      </c>
      <c r="S150" t="s">
        <v>1872</v>
      </c>
      <c r="T150" t="s">
        <v>2864</v>
      </c>
      <c r="U150" t="s">
        <v>2866</v>
      </c>
      <c r="V150">
        <v>37</v>
      </c>
      <c r="W150">
        <v>34</v>
      </c>
      <c r="X150" s="5">
        <v>71</v>
      </c>
      <c r="Y150" s="5">
        <v>88.75</v>
      </c>
      <c r="Z150" s="33">
        <v>24.55</v>
      </c>
      <c r="AA150" s="5">
        <v>113.3</v>
      </c>
      <c r="AB150" s="9">
        <v>136.30000000000001</v>
      </c>
      <c r="AI150" t="s">
        <v>707</v>
      </c>
      <c r="AO150" t="s">
        <v>3044</v>
      </c>
      <c r="AQ150" s="24">
        <v>46084.523564814815</v>
      </c>
    </row>
    <row r="151" spans="2:43" x14ac:dyDescent="0.25">
      <c r="B151">
        <v>127</v>
      </c>
      <c r="C151">
        <v>3</v>
      </c>
      <c r="D151" s="21">
        <v>46087.489583333336</v>
      </c>
      <c r="E151">
        <v>168</v>
      </c>
      <c r="F151" t="s">
        <v>707</v>
      </c>
      <c r="G151">
        <v>73444904013</v>
      </c>
      <c r="H151" t="s">
        <v>1873</v>
      </c>
      <c r="I151" s="5">
        <v>39</v>
      </c>
      <c r="J151" t="s">
        <v>1096</v>
      </c>
      <c r="K151" s="18">
        <v>42524</v>
      </c>
      <c r="L151" t="s">
        <v>1874</v>
      </c>
      <c r="M151" t="s">
        <v>1875</v>
      </c>
      <c r="N151">
        <v>36203366655</v>
      </c>
      <c r="O151" t="s">
        <v>1876</v>
      </c>
      <c r="P151" t="s">
        <v>1877</v>
      </c>
      <c r="Q151" t="s">
        <v>1876</v>
      </c>
      <c r="R151" s="34" t="s">
        <v>2856</v>
      </c>
      <c r="S151" t="s">
        <v>1634</v>
      </c>
      <c r="T151" t="s">
        <v>609</v>
      </c>
      <c r="U151" t="s">
        <v>2853</v>
      </c>
      <c r="V151">
        <v>36</v>
      </c>
      <c r="W151">
        <v>31</v>
      </c>
      <c r="X151" s="5">
        <v>67</v>
      </c>
      <c r="Y151" s="5">
        <v>83.75</v>
      </c>
      <c r="Z151" s="33">
        <v>22.27</v>
      </c>
      <c r="AA151" s="5">
        <v>106.02</v>
      </c>
      <c r="AB151" s="9">
        <v>145.02000000000001</v>
      </c>
      <c r="AI151" t="s">
        <v>707</v>
      </c>
      <c r="AJ151" t="s">
        <v>707</v>
      </c>
      <c r="AK151" t="s">
        <v>707</v>
      </c>
      <c r="AL151" t="s">
        <v>707</v>
      </c>
      <c r="AO151" t="s">
        <v>3045</v>
      </c>
      <c r="AQ151" s="24">
        <v>46084.523564814815</v>
      </c>
    </row>
    <row r="152" spans="2:43" x14ac:dyDescent="0.25">
      <c r="B152">
        <v>128</v>
      </c>
      <c r="C152">
        <v>4</v>
      </c>
      <c r="D152" s="21">
        <v>46087.489583333336</v>
      </c>
      <c r="E152">
        <v>229</v>
      </c>
      <c r="F152" t="s">
        <v>707</v>
      </c>
      <c r="G152">
        <v>73441125482</v>
      </c>
      <c r="H152" t="s">
        <v>1878</v>
      </c>
      <c r="I152" s="5">
        <v>10</v>
      </c>
      <c r="J152" t="s">
        <v>1097</v>
      </c>
      <c r="K152" s="18">
        <v>42571</v>
      </c>
      <c r="L152" t="s">
        <v>1879</v>
      </c>
      <c r="M152" t="s">
        <v>1880</v>
      </c>
      <c r="N152">
        <v>36707775796</v>
      </c>
      <c r="O152" t="s">
        <v>1881</v>
      </c>
      <c r="P152" t="s">
        <v>1882</v>
      </c>
      <c r="Q152" t="s">
        <v>1881</v>
      </c>
      <c r="R152" s="34" t="s">
        <v>2401</v>
      </c>
      <c r="S152" t="s">
        <v>393</v>
      </c>
      <c r="T152" t="s">
        <v>394</v>
      </c>
      <c r="U152" t="s">
        <v>147</v>
      </c>
      <c r="V152">
        <v>38</v>
      </c>
      <c r="W152">
        <v>29</v>
      </c>
      <c r="X152" s="5">
        <v>67</v>
      </c>
      <c r="Y152" s="5">
        <v>83.75</v>
      </c>
      <c r="Z152" s="33">
        <v>25</v>
      </c>
      <c r="AA152" s="5">
        <v>108.75</v>
      </c>
      <c r="AB152" s="9">
        <v>118.75</v>
      </c>
      <c r="AI152" t="s">
        <v>707</v>
      </c>
      <c r="AJ152" t="s">
        <v>707</v>
      </c>
      <c r="AO152" t="s">
        <v>3046</v>
      </c>
      <c r="AQ152" s="24">
        <v>46084.523587962962</v>
      </c>
    </row>
    <row r="153" spans="2:43" x14ac:dyDescent="0.25">
      <c r="B153">
        <v>129</v>
      </c>
      <c r="C153">
        <v>4</v>
      </c>
      <c r="D153" s="21">
        <v>46087.489583333336</v>
      </c>
      <c r="E153">
        <v>116</v>
      </c>
      <c r="F153" t="s">
        <v>707</v>
      </c>
      <c r="G153">
        <v>73392543419</v>
      </c>
      <c r="H153" t="s">
        <v>1883</v>
      </c>
      <c r="I153" s="5">
        <v>31</v>
      </c>
      <c r="J153" t="s">
        <v>1101</v>
      </c>
      <c r="K153" s="18">
        <v>41996</v>
      </c>
      <c r="L153" t="s">
        <v>1884</v>
      </c>
      <c r="M153" t="s">
        <v>1885</v>
      </c>
      <c r="N153">
        <v>36703101895</v>
      </c>
      <c r="O153" t="s">
        <v>1886</v>
      </c>
      <c r="P153" t="s">
        <v>1884</v>
      </c>
      <c r="Q153" t="s">
        <v>1886</v>
      </c>
      <c r="R153" s="34"/>
      <c r="V153">
        <v>42</v>
      </c>
      <c r="W153">
        <v>37</v>
      </c>
      <c r="X153" s="5">
        <v>79</v>
      </c>
      <c r="Y153" s="5">
        <v>98.75</v>
      </c>
      <c r="Z153" s="33">
        <v>25</v>
      </c>
      <c r="AA153" s="5">
        <v>123.75</v>
      </c>
      <c r="AB153" s="9">
        <v>154.75</v>
      </c>
      <c r="AI153" t="s">
        <v>707</v>
      </c>
      <c r="AJ153" t="s">
        <v>707</v>
      </c>
      <c r="AK153" t="s">
        <v>707</v>
      </c>
      <c r="AL153" t="s">
        <v>707</v>
      </c>
      <c r="AO153" t="s">
        <v>3047</v>
      </c>
      <c r="AQ153" s="24">
        <v>46084.523587962962</v>
      </c>
    </row>
    <row r="154" spans="2:43" x14ac:dyDescent="0.25">
      <c r="B154">
        <v>232</v>
      </c>
      <c r="C154">
        <v>1</v>
      </c>
      <c r="D154" s="21">
        <v>46098.635416666664</v>
      </c>
      <c r="E154">
        <v>181</v>
      </c>
      <c r="F154" t="s">
        <v>707</v>
      </c>
      <c r="G154">
        <v>73465412898</v>
      </c>
      <c r="H154" t="s">
        <v>1887</v>
      </c>
      <c r="I154" s="5">
        <v>35</v>
      </c>
      <c r="J154" t="s">
        <v>1097</v>
      </c>
      <c r="K154" s="18">
        <v>42265</v>
      </c>
      <c r="L154" t="s">
        <v>1888</v>
      </c>
      <c r="M154" t="s">
        <v>1889</v>
      </c>
      <c r="N154">
        <v>36302614837</v>
      </c>
      <c r="O154" t="s">
        <v>1890</v>
      </c>
      <c r="P154" t="s">
        <v>1888</v>
      </c>
      <c r="Q154" t="s">
        <v>1890</v>
      </c>
      <c r="R154" s="34"/>
      <c r="V154">
        <v>36</v>
      </c>
      <c r="W154">
        <v>28</v>
      </c>
      <c r="X154" s="5">
        <v>64</v>
      </c>
      <c r="Y154" s="5">
        <v>80</v>
      </c>
      <c r="Z154" s="33">
        <v>25</v>
      </c>
      <c r="AA154" s="5">
        <v>105</v>
      </c>
      <c r="AB154" s="9">
        <v>140</v>
      </c>
      <c r="AI154" t="s">
        <v>707</v>
      </c>
      <c r="AJ154" t="s">
        <v>707</v>
      </c>
      <c r="AK154" t="s">
        <v>707</v>
      </c>
      <c r="AL154" t="s">
        <v>707</v>
      </c>
      <c r="AO154" t="s">
        <v>3048</v>
      </c>
      <c r="AQ154" s="24">
        <v>46084.523599537039</v>
      </c>
    </row>
    <row r="155" spans="2:43" x14ac:dyDescent="0.25">
      <c r="B155">
        <v>130</v>
      </c>
      <c r="C155">
        <v>4</v>
      </c>
      <c r="D155" s="21">
        <v>46087.489583333336</v>
      </c>
      <c r="E155" s="31">
        <v>41</v>
      </c>
      <c r="F155" t="s">
        <v>707</v>
      </c>
      <c r="G155">
        <v>73415374171</v>
      </c>
      <c r="H155" t="s">
        <v>1891</v>
      </c>
      <c r="I155" s="5">
        <v>36</v>
      </c>
      <c r="J155" t="s">
        <v>1099</v>
      </c>
      <c r="K155" s="18">
        <v>42356</v>
      </c>
      <c r="L155" t="s">
        <v>1892</v>
      </c>
      <c r="M155" t="s">
        <v>1893</v>
      </c>
      <c r="N155">
        <v>36302588294</v>
      </c>
      <c r="O155" t="s">
        <v>1894</v>
      </c>
      <c r="P155" t="s">
        <v>1895</v>
      </c>
      <c r="Q155" t="s">
        <v>1894</v>
      </c>
      <c r="R155" s="34" t="s">
        <v>1123</v>
      </c>
      <c r="S155" t="s">
        <v>55</v>
      </c>
      <c r="T155" t="s">
        <v>56</v>
      </c>
      <c r="U155" t="s">
        <v>57</v>
      </c>
      <c r="V155">
        <v>48</v>
      </c>
      <c r="W155">
        <v>40</v>
      </c>
      <c r="X155" s="5">
        <v>88</v>
      </c>
      <c r="Y155" s="5">
        <v>110</v>
      </c>
      <c r="Z155" s="33">
        <v>25</v>
      </c>
      <c r="AA155" s="5">
        <v>135</v>
      </c>
      <c r="AB155" s="9">
        <v>171</v>
      </c>
      <c r="AI155" t="s">
        <v>707</v>
      </c>
      <c r="AJ155" t="s">
        <v>707</v>
      </c>
      <c r="AK155" t="s">
        <v>707</v>
      </c>
      <c r="AL155" t="s">
        <v>707</v>
      </c>
      <c r="AO155" t="s">
        <v>3049</v>
      </c>
      <c r="AQ155" s="24">
        <v>46084.523587962962</v>
      </c>
    </row>
    <row r="156" spans="2:43" x14ac:dyDescent="0.25">
      <c r="B156">
        <v>131</v>
      </c>
      <c r="C156">
        <v>4</v>
      </c>
      <c r="D156" s="21">
        <v>46087.489583333336</v>
      </c>
      <c r="E156">
        <v>147</v>
      </c>
      <c r="F156" t="s">
        <v>707</v>
      </c>
      <c r="G156">
        <v>73366464798</v>
      </c>
      <c r="H156" t="s">
        <v>1896</v>
      </c>
      <c r="I156" s="5">
        <v>30</v>
      </c>
      <c r="J156" t="s">
        <v>1104</v>
      </c>
      <c r="K156" s="18">
        <v>42283</v>
      </c>
      <c r="L156" t="s">
        <v>1897</v>
      </c>
      <c r="M156" t="s">
        <v>1898</v>
      </c>
      <c r="N156">
        <v>36304291847</v>
      </c>
      <c r="O156" t="s">
        <v>1899</v>
      </c>
      <c r="P156" t="s">
        <v>1900</v>
      </c>
      <c r="Q156" t="s">
        <v>1899</v>
      </c>
      <c r="R156" s="34" t="s">
        <v>2394</v>
      </c>
      <c r="S156" t="s">
        <v>246</v>
      </c>
      <c r="T156" t="s">
        <v>247</v>
      </c>
      <c r="U156" t="s">
        <v>147</v>
      </c>
      <c r="V156">
        <v>42</v>
      </c>
      <c r="W156">
        <v>33</v>
      </c>
      <c r="X156" s="5">
        <v>75</v>
      </c>
      <c r="Y156" s="5">
        <v>93.75</v>
      </c>
      <c r="Z156" s="33">
        <v>25</v>
      </c>
      <c r="AA156" s="5">
        <v>118.75</v>
      </c>
      <c r="AB156" s="9">
        <v>148.75</v>
      </c>
      <c r="AI156" t="s">
        <v>707</v>
      </c>
      <c r="AJ156" t="s">
        <v>707</v>
      </c>
      <c r="AK156" t="s">
        <v>707</v>
      </c>
      <c r="AL156" t="s">
        <v>707</v>
      </c>
      <c r="AO156" t="s">
        <v>3050</v>
      </c>
      <c r="AQ156" s="24">
        <v>46084.523587962962</v>
      </c>
    </row>
    <row r="157" spans="2:43" x14ac:dyDescent="0.25">
      <c r="B157">
        <v>132</v>
      </c>
      <c r="C157">
        <v>5</v>
      </c>
      <c r="D157" s="21">
        <v>46087.489583333336</v>
      </c>
      <c r="E157">
        <v>129</v>
      </c>
      <c r="F157" t="s">
        <v>707</v>
      </c>
      <c r="G157">
        <v>73396591002</v>
      </c>
      <c r="H157" t="s">
        <v>1901</v>
      </c>
      <c r="I157" s="5">
        <v>40</v>
      </c>
      <c r="J157" t="s">
        <v>1101</v>
      </c>
      <c r="K157" s="18">
        <v>42298</v>
      </c>
      <c r="L157" t="s">
        <v>1902</v>
      </c>
      <c r="M157" t="s">
        <v>1903</v>
      </c>
      <c r="N157">
        <v>36706154600</v>
      </c>
      <c r="O157" t="s">
        <v>1904</v>
      </c>
      <c r="P157" t="s">
        <v>1901</v>
      </c>
      <c r="Q157" t="s">
        <v>1905</v>
      </c>
      <c r="R157" s="34"/>
      <c r="V157">
        <v>38</v>
      </c>
      <c r="W157">
        <v>32</v>
      </c>
      <c r="X157" s="5">
        <v>70</v>
      </c>
      <c r="Y157" s="5">
        <v>87.5</v>
      </c>
      <c r="Z157" s="33">
        <v>25</v>
      </c>
      <c r="AA157" s="5">
        <v>112.5</v>
      </c>
      <c r="AB157" s="9">
        <v>152.5</v>
      </c>
      <c r="AI157" t="s">
        <v>707</v>
      </c>
      <c r="AJ157" t="s">
        <v>707</v>
      </c>
      <c r="AK157" t="s">
        <v>707</v>
      </c>
      <c r="AL157" t="s">
        <v>707</v>
      </c>
      <c r="AO157" t="s">
        <v>3051</v>
      </c>
      <c r="AQ157" s="24">
        <v>46084.523622685185</v>
      </c>
    </row>
    <row r="158" spans="2:43" x14ac:dyDescent="0.25">
      <c r="B158">
        <v>133</v>
      </c>
      <c r="C158">
        <v>5</v>
      </c>
      <c r="D158" s="21">
        <v>46087.489583333336</v>
      </c>
      <c r="E158" s="31">
        <v>27</v>
      </c>
      <c r="F158" t="s">
        <v>707</v>
      </c>
      <c r="G158">
        <v>73453335286</v>
      </c>
      <c r="H158" t="s">
        <v>1906</v>
      </c>
      <c r="I158" s="5">
        <v>40</v>
      </c>
      <c r="J158" t="s">
        <v>1097</v>
      </c>
      <c r="K158" s="18">
        <v>42478</v>
      </c>
      <c r="L158" t="s">
        <v>1907</v>
      </c>
      <c r="M158" t="s">
        <v>1908</v>
      </c>
      <c r="N158">
        <v>36707025587</v>
      </c>
      <c r="O158" t="s">
        <v>1909</v>
      </c>
      <c r="P158" t="s">
        <v>1907</v>
      </c>
      <c r="Q158" t="s">
        <v>1909</v>
      </c>
      <c r="R158" s="34" t="s">
        <v>2402</v>
      </c>
      <c r="S158" t="s">
        <v>289</v>
      </c>
      <c r="T158" t="s">
        <v>290</v>
      </c>
      <c r="U158" t="s">
        <v>291</v>
      </c>
      <c r="V158">
        <v>41</v>
      </c>
      <c r="W158">
        <v>46</v>
      </c>
      <c r="X158" s="5">
        <v>87</v>
      </c>
      <c r="Y158" s="5">
        <v>108.75</v>
      </c>
      <c r="Z158" s="33">
        <v>25</v>
      </c>
      <c r="AA158" s="5">
        <v>133.75</v>
      </c>
      <c r="AB158" s="9">
        <v>173.75</v>
      </c>
      <c r="AI158" t="s">
        <v>707</v>
      </c>
      <c r="AJ158" t="s">
        <v>707</v>
      </c>
      <c r="AK158" t="s">
        <v>707</v>
      </c>
      <c r="AL158" t="s">
        <v>707</v>
      </c>
      <c r="AO158" t="s">
        <v>3052</v>
      </c>
      <c r="AQ158" s="24">
        <v>46084.523622685185</v>
      </c>
    </row>
    <row r="159" spans="2:43" x14ac:dyDescent="0.25">
      <c r="B159">
        <v>134</v>
      </c>
      <c r="C159">
        <v>9</v>
      </c>
      <c r="D159" s="21">
        <v>46087.4375</v>
      </c>
      <c r="E159">
        <v>201</v>
      </c>
      <c r="F159" t="s">
        <v>707</v>
      </c>
      <c r="G159">
        <v>73354124031</v>
      </c>
      <c r="H159" t="s">
        <v>1910</v>
      </c>
      <c r="I159" s="5">
        <v>15</v>
      </c>
      <c r="J159" t="s">
        <v>1911</v>
      </c>
      <c r="K159" s="18">
        <v>42151</v>
      </c>
      <c r="L159" t="s">
        <v>1912</v>
      </c>
      <c r="M159" t="s">
        <v>1913</v>
      </c>
      <c r="N159">
        <v>36704036662</v>
      </c>
      <c r="O159" t="s">
        <v>1914</v>
      </c>
      <c r="P159" t="s">
        <v>1912</v>
      </c>
      <c r="Q159" t="s">
        <v>1914</v>
      </c>
      <c r="R159" s="34" t="s">
        <v>1117</v>
      </c>
      <c r="S159" t="s">
        <v>285</v>
      </c>
      <c r="T159" t="s">
        <v>286</v>
      </c>
      <c r="U159" t="s">
        <v>287</v>
      </c>
      <c r="V159">
        <v>36</v>
      </c>
      <c r="W159">
        <v>40</v>
      </c>
      <c r="X159" s="5">
        <v>76</v>
      </c>
      <c r="Y159" s="5">
        <v>95</v>
      </c>
      <c r="Z159" s="33">
        <v>25</v>
      </c>
      <c r="AA159" s="5">
        <v>120</v>
      </c>
      <c r="AB159" s="9">
        <v>135</v>
      </c>
      <c r="AD159" t="s">
        <v>707</v>
      </c>
      <c r="AF159" t="s">
        <v>707</v>
      </c>
      <c r="AI159" t="s">
        <v>707</v>
      </c>
      <c r="AJ159" t="s">
        <v>707</v>
      </c>
      <c r="AK159" t="s">
        <v>707</v>
      </c>
      <c r="AL159" t="s">
        <v>707</v>
      </c>
      <c r="AO159" t="s">
        <v>3053</v>
      </c>
      <c r="AQ159" s="24">
        <v>46084.523518518516</v>
      </c>
    </row>
    <row r="160" spans="2:43" x14ac:dyDescent="0.25">
      <c r="B160">
        <v>135</v>
      </c>
      <c r="C160">
        <v>1</v>
      </c>
      <c r="D160" s="21">
        <v>46099.604166666664</v>
      </c>
      <c r="E160" s="31">
        <v>35</v>
      </c>
      <c r="F160" t="s">
        <v>707</v>
      </c>
      <c r="G160">
        <v>73433972875</v>
      </c>
      <c r="H160" t="s">
        <v>1915</v>
      </c>
      <c r="I160" s="5">
        <v>45</v>
      </c>
      <c r="J160" t="s">
        <v>1100</v>
      </c>
      <c r="K160" s="18">
        <v>42425</v>
      </c>
      <c r="L160" t="s">
        <v>1916</v>
      </c>
      <c r="M160" t="s">
        <v>1917</v>
      </c>
      <c r="N160">
        <v>36207724737</v>
      </c>
      <c r="O160" t="s">
        <v>1918</v>
      </c>
      <c r="P160" t="s">
        <v>1916</v>
      </c>
      <c r="Q160" t="s">
        <v>1919</v>
      </c>
      <c r="R160" s="34"/>
      <c r="V160">
        <v>45</v>
      </c>
      <c r="W160">
        <v>37</v>
      </c>
      <c r="X160" s="5">
        <v>82</v>
      </c>
      <c r="Y160" s="5">
        <v>102.5</v>
      </c>
      <c r="Z160" s="33">
        <v>25</v>
      </c>
      <c r="AA160" s="5">
        <v>127.5</v>
      </c>
      <c r="AB160" s="9">
        <v>172.5</v>
      </c>
      <c r="AI160" t="s">
        <v>707</v>
      </c>
      <c r="AJ160" t="s">
        <v>707</v>
      </c>
      <c r="AK160" t="s">
        <v>707</v>
      </c>
      <c r="AL160" t="s">
        <v>707</v>
      </c>
      <c r="AO160" t="s">
        <v>3054</v>
      </c>
      <c r="AQ160" s="24">
        <v>46097.359074074076</v>
      </c>
    </row>
    <row r="161" spans="2:43" x14ac:dyDescent="0.25">
      <c r="B161">
        <v>233</v>
      </c>
      <c r="C161">
        <v>1</v>
      </c>
      <c r="D161" s="21">
        <v>46098.635416666664</v>
      </c>
      <c r="E161">
        <v>158</v>
      </c>
      <c r="F161" t="s">
        <v>707</v>
      </c>
      <c r="G161">
        <v>73370819656</v>
      </c>
      <c r="H161" t="s">
        <v>1920</v>
      </c>
      <c r="I161" s="5">
        <v>34</v>
      </c>
      <c r="J161" t="s">
        <v>1097</v>
      </c>
      <c r="K161" s="18">
        <v>42169</v>
      </c>
      <c r="L161" t="s">
        <v>1921</v>
      </c>
      <c r="M161" s="3" t="s">
        <v>2420</v>
      </c>
      <c r="N161">
        <v>36309719072</v>
      </c>
      <c r="O161" t="s">
        <v>1922</v>
      </c>
      <c r="P161" t="s">
        <v>1921</v>
      </c>
      <c r="Q161" t="s">
        <v>1922</v>
      </c>
      <c r="R161" s="34"/>
      <c r="V161">
        <v>36</v>
      </c>
      <c r="W161">
        <v>34</v>
      </c>
      <c r="X161" s="5">
        <v>70</v>
      </c>
      <c r="Y161" s="5">
        <v>87.5</v>
      </c>
      <c r="Z161" s="33">
        <v>25</v>
      </c>
      <c r="AA161" s="5">
        <v>112.5</v>
      </c>
      <c r="AB161" s="9">
        <v>146.5</v>
      </c>
      <c r="AI161" t="s">
        <v>707</v>
      </c>
      <c r="AJ161" t="s">
        <v>707</v>
      </c>
      <c r="AK161" t="s">
        <v>707</v>
      </c>
      <c r="AL161" t="s">
        <v>707</v>
      </c>
      <c r="AO161" t="s">
        <v>3055</v>
      </c>
      <c r="AQ161" s="24">
        <v>46084.523599537039</v>
      </c>
    </row>
    <row r="162" spans="2:43" x14ac:dyDescent="0.25">
      <c r="B162">
        <v>136</v>
      </c>
      <c r="C162">
        <v>1</v>
      </c>
      <c r="D162" s="21">
        <v>46099.604166666664</v>
      </c>
      <c r="E162">
        <v>115</v>
      </c>
      <c r="F162" t="s">
        <v>707</v>
      </c>
      <c r="G162">
        <v>73388537952</v>
      </c>
      <c r="H162" t="s">
        <v>1923</v>
      </c>
      <c r="I162" s="5">
        <v>44</v>
      </c>
      <c r="J162" t="s">
        <v>1099</v>
      </c>
      <c r="K162" s="18">
        <v>42214</v>
      </c>
      <c r="L162" t="s">
        <v>1924</v>
      </c>
      <c r="M162" t="s">
        <v>1925</v>
      </c>
      <c r="N162">
        <v>36202941602</v>
      </c>
      <c r="O162" t="s">
        <v>1926</v>
      </c>
      <c r="P162" t="s">
        <v>1927</v>
      </c>
      <c r="Q162" t="s">
        <v>1926</v>
      </c>
      <c r="R162" s="34" t="s">
        <v>2868</v>
      </c>
      <c r="S162" t="s">
        <v>1928</v>
      </c>
      <c r="T162" t="s">
        <v>2863</v>
      </c>
      <c r="U162" t="s">
        <v>2862</v>
      </c>
      <c r="V162">
        <v>33</v>
      </c>
      <c r="W162">
        <v>36</v>
      </c>
      <c r="X162" s="5">
        <v>69</v>
      </c>
      <c r="Y162" s="5">
        <v>86.25</v>
      </c>
      <c r="Z162" s="33">
        <v>24.58</v>
      </c>
      <c r="AA162" s="5">
        <v>110.83</v>
      </c>
      <c r="AB162" s="9">
        <v>154.83000000000001</v>
      </c>
      <c r="AI162" t="s">
        <v>707</v>
      </c>
      <c r="AK162" t="s">
        <v>707</v>
      </c>
      <c r="AO162" t="s">
        <v>3056</v>
      </c>
      <c r="AQ162" s="24">
        <v>46097.359074074076</v>
      </c>
    </row>
    <row r="163" spans="2:43" x14ac:dyDescent="0.25">
      <c r="E163">
        <v>152</v>
      </c>
      <c r="G163">
        <v>73388066975</v>
      </c>
      <c r="H163" t="s">
        <v>1929</v>
      </c>
      <c r="I163" s="5">
        <v>38</v>
      </c>
      <c r="J163" t="s">
        <v>1103</v>
      </c>
      <c r="K163" s="18">
        <v>42126</v>
      </c>
      <c r="L163" t="s">
        <v>1930</v>
      </c>
      <c r="N163">
        <v>36308068773</v>
      </c>
      <c r="O163" t="s">
        <v>1931</v>
      </c>
      <c r="P163" t="s">
        <v>1930</v>
      </c>
      <c r="Q163" t="s">
        <v>1931</v>
      </c>
      <c r="R163" s="34" t="s">
        <v>2375</v>
      </c>
      <c r="S163" t="s">
        <v>604</v>
      </c>
      <c r="T163" t="s">
        <v>605</v>
      </c>
      <c r="U163" t="s">
        <v>606</v>
      </c>
      <c r="V163">
        <v>31</v>
      </c>
      <c r="W163">
        <v>38</v>
      </c>
      <c r="X163" s="5">
        <v>69</v>
      </c>
      <c r="Y163" s="5">
        <v>86.25</v>
      </c>
      <c r="Z163" s="33">
        <v>23.63</v>
      </c>
      <c r="AA163" s="5">
        <v>109.88</v>
      </c>
      <c r="AB163" s="9">
        <v>147.88</v>
      </c>
      <c r="AI163" t="s">
        <v>707</v>
      </c>
      <c r="AO163" t="s">
        <v>3057</v>
      </c>
    </row>
    <row r="164" spans="2:43" x14ac:dyDescent="0.25">
      <c r="B164">
        <v>137</v>
      </c>
      <c r="C164">
        <v>6</v>
      </c>
      <c r="D164" s="21">
        <v>46087.489583333336</v>
      </c>
      <c r="E164">
        <v>104</v>
      </c>
      <c r="F164" t="s">
        <v>707</v>
      </c>
      <c r="G164">
        <v>73434246666</v>
      </c>
      <c r="H164" t="s">
        <v>1932</v>
      </c>
      <c r="I164" s="5">
        <v>37</v>
      </c>
      <c r="J164" t="s">
        <v>1102</v>
      </c>
      <c r="K164" s="18">
        <v>42279</v>
      </c>
      <c r="L164" t="s">
        <v>1933</v>
      </c>
      <c r="M164" t="s">
        <v>1934</v>
      </c>
      <c r="N164">
        <v>36303675309</v>
      </c>
      <c r="O164" t="s">
        <v>1935</v>
      </c>
      <c r="P164" t="s">
        <v>1936</v>
      </c>
      <c r="Q164" t="s">
        <v>1937</v>
      </c>
      <c r="R164" s="34" t="s">
        <v>1110</v>
      </c>
      <c r="S164" t="s">
        <v>327</v>
      </c>
      <c r="T164" t="s">
        <v>328</v>
      </c>
      <c r="U164" t="s">
        <v>329</v>
      </c>
      <c r="V164">
        <v>39</v>
      </c>
      <c r="W164">
        <v>37</v>
      </c>
      <c r="X164" s="5">
        <v>76</v>
      </c>
      <c r="Y164" s="5">
        <v>95</v>
      </c>
      <c r="Z164" s="33">
        <v>25</v>
      </c>
      <c r="AA164" s="5">
        <v>120</v>
      </c>
      <c r="AB164" s="9">
        <v>157</v>
      </c>
      <c r="AD164" t="s">
        <v>707</v>
      </c>
      <c r="AI164" t="s">
        <v>707</v>
      </c>
      <c r="AJ164" t="s">
        <v>707</v>
      </c>
      <c r="AO164" t="s">
        <v>3058</v>
      </c>
      <c r="AQ164" s="24">
        <v>46084.523634259262</v>
      </c>
    </row>
    <row r="165" spans="2:43" x14ac:dyDescent="0.25">
      <c r="B165">
        <v>138</v>
      </c>
      <c r="C165">
        <v>6</v>
      </c>
      <c r="D165" s="21">
        <v>46087.489583333336</v>
      </c>
      <c r="E165">
        <v>187</v>
      </c>
      <c r="F165" t="s">
        <v>707</v>
      </c>
      <c r="G165">
        <v>73436408585</v>
      </c>
      <c r="H165" t="s">
        <v>1938</v>
      </c>
      <c r="I165" s="5">
        <v>18</v>
      </c>
      <c r="J165" t="s">
        <v>1097</v>
      </c>
      <c r="K165" s="18">
        <v>42337</v>
      </c>
      <c r="L165" t="s">
        <v>1939</v>
      </c>
      <c r="M165" t="s">
        <v>1940</v>
      </c>
      <c r="N165">
        <v>36209533513</v>
      </c>
      <c r="O165" t="s">
        <v>1941</v>
      </c>
      <c r="P165" t="s">
        <v>1942</v>
      </c>
      <c r="Q165" t="s">
        <v>1943</v>
      </c>
      <c r="R165" s="34" t="s">
        <v>2403</v>
      </c>
      <c r="S165" t="s">
        <v>379</v>
      </c>
      <c r="T165" t="s">
        <v>380</v>
      </c>
      <c r="U165" t="s">
        <v>381</v>
      </c>
      <c r="V165">
        <v>38</v>
      </c>
      <c r="W165">
        <v>38</v>
      </c>
      <c r="X165" s="5">
        <v>76</v>
      </c>
      <c r="Y165" s="5">
        <v>95</v>
      </c>
      <c r="Z165" s="33">
        <v>24.5</v>
      </c>
      <c r="AA165" s="5">
        <v>119.5</v>
      </c>
      <c r="AB165" s="9">
        <v>137.5</v>
      </c>
      <c r="AI165" t="s">
        <v>707</v>
      </c>
      <c r="AO165" t="s">
        <v>3059</v>
      </c>
      <c r="AQ165" s="24">
        <v>46084.523634259262</v>
      </c>
    </row>
    <row r="166" spans="2:43" x14ac:dyDescent="0.25">
      <c r="B166">
        <v>139</v>
      </c>
      <c r="C166">
        <v>1</v>
      </c>
      <c r="D166" s="21">
        <v>46099.635416666664</v>
      </c>
      <c r="E166" s="31">
        <v>13</v>
      </c>
      <c r="F166" t="s">
        <v>707</v>
      </c>
      <c r="G166">
        <v>73477201214</v>
      </c>
      <c r="H166" t="s">
        <v>1944</v>
      </c>
      <c r="I166" s="5">
        <v>42</v>
      </c>
      <c r="J166" t="s">
        <v>1100</v>
      </c>
      <c r="K166" s="18">
        <v>42502</v>
      </c>
      <c r="L166" t="s">
        <v>1945</v>
      </c>
      <c r="M166" t="s">
        <v>1946</v>
      </c>
      <c r="N166">
        <v>36204830154</v>
      </c>
      <c r="O166" t="s">
        <v>1947</v>
      </c>
      <c r="P166" t="s">
        <v>1948</v>
      </c>
      <c r="Q166" t="s">
        <v>1947</v>
      </c>
      <c r="R166" s="34" t="s">
        <v>2869</v>
      </c>
      <c r="S166" t="s">
        <v>1949</v>
      </c>
      <c r="T166" t="s">
        <v>2858</v>
      </c>
      <c r="U166" t="s">
        <v>2860</v>
      </c>
      <c r="V166">
        <v>47</v>
      </c>
      <c r="W166">
        <v>42</v>
      </c>
      <c r="X166" s="5">
        <v>89</v>
      </c>
      <c r="Y166" s="5">
        <v>111.25</v>
      </c>
      <c r="Z166" s="33">
        <v>25</v>
      </c>
      <c r="AA166" s="5">
        <v>136.25</v>
      </c>
      <c r="AB166" s="9">
        <v>178.25</v>
      </c>
      <c r="AI166" t="s">
        <v>707</v>
      </c>
      <c r="AJ166" t="s">
        <v>707</v>
      </c>
      <c r="AK166" t="s">
        <v>707</v>
      </c>
      <c r="AL166" t="s">
        <v>707</v>
      </c>
      <c r="AO166" t="s">
        <v>3060</v>
      </c>
      <c r="AQ166" s="24">
        <v>46097.359050925923</v>
      </c>
    </row>
    <row r="167" spans="2:43" x14ac:dyDescent="0.25">
      <c r="B167">
        <v>140</v>
      </c>
      <c r="C167">
        <v>6</v>
      </c>
      <c r="D167" s="21">
        <v>46087.489583333336</v>
      </c>
      <c r="E167">
        <v>199</v>
      </c>
      <c r="F167" t="s">
        <v>707</v>
      </c>
      <c r="G167">
        <v>73419619808</v>
      </c>
      <c r="H167" t="s">
        <v>1950</v>
      </c>
      <c r="I167" s="5">
        <v>33</v>
      </c>
      <c r="J167" t="s">
        <v>1097</v>
      </c>
      <c r="K167" s="18">
        <v>42390</v>
      </c>
      <c r="L167" t="s">
        <v>1951</v>
      </c>
      <c r="M167" t="s">
        <v>1952</v>
      </c>
      <c r="N167">
        <v>36305656861</v>
      </c>
      <c r="O167" t="s">
        <v>1953</v>
      </c>
      <c r="P167" t="s">
        <v>1951</v>
      </c>
      <c r="Q167" t="s">
        <v>1953</v>
      </c>
      <c r="R167" s="34" t="s">
        <v>1114</v>
      </c>
      <c r="S167" t="s">
        <v>416</v>
      </c>
      <c r="T167" t="s">
        <v>417</v>
      </c>
      <c r="U167" t="s">
        <v>418</v>
      </c>
      <c r="V167">
        <v>39</v>
      </c>
      <c r="W167">
        <v>23</v>
      </c>
      <c r="X167" s="5">
        <v>62</v>
      </c>
      <c r="Y167" s="5">
        <v>77.5</v>
      </c>
      <c r="Z167" s="33">
        <v>25</v>
      </c>
      <c r="AA167" s="5">
        <v>102.5</v>
      </c>
      <c r="AB167" s="9">
        <v>135.5</v>
      </c>
      <c r="AI167" t="s">
        <v>707</v>
      </c>
      <c r="AJ167" t="s">
        <v>707</v>
      </c>
      <c r="AK167" t="s">
        <v>707</v>
      </c>
      <c r="AL167" t="s">
        <v>707</v>
      </c>
      <c r="AO167" t="s">
        <v>3061</v>
      </c>
      <c r="AQ167" s="24">
        <v>46084.523634259262</v>
      </c>
    </row>
    <row r="168" spans="2:43" x14ac:dyDescent="0.25">
      <c r="B168">
        <v>141</v>
      </c>
      <c r="C168">
        <v>7</v>
      </c>
      <c r="D168" s="21">
        <v>46087.489583333336</v>
      </c>
      <c r="E168" s="31">
        <v>11</v>
      </c>
      <c r="F168" t="s">
        <v>707</v>
      </c>
      <c r="G168">
        <v>73452614582</v>
      </c>
      <c r="H168" t="s">
        <v>1954</v>
      </c>
      <c r="I168" s="5">
        <v>43</v>
      </c>
      <c r="J168" t="s">
        <v>1104</v>
      </c>
      <c r="K168" s="18">
        <v>42377</v>
      </c>
      <c r="L168" t="s">
        <v>1955</v>
      </c>
      <c r="M168" t="s">
        <v>1956</v>
      </c>
      <c r="N168">
        <v>36309620314</v>
      </c>
      <c r="O168" t="s">
        <v>1957</v>
      </c>
      <c r="P168" t="s">
        <v>1955</v>
      </c>
      <c r="Q168" t="s">
        <v>1957</v>
      </c>
      <c r="R168" s="34" t="s">
        <v>1112</v>
      </c>
      <c r="S168" t="s">
        <v>44</v>
      </c>
      <c r="T168" t="s">
        <v>45</v>
      </c>
      <c r="U168" t="s">
        <v>46</v>
      </c>
      <c r="V168">
        <v>45</v>
      </c>
      <c r="W168">
        <v>45</v>
      </c>
      <c r="X168" s="5">
        <v>90</v>
      </c>
      <c r="Y168" s="5">
        <v>112.5</v>
      </c>
      <c r="Z168" s="33">
        <v>25</v>
      </c>
      <c r="AA168" s="5">
        <v>137.5</v>
      </c>
      <c r="AB168" s="9">
        <v>180.5</v>
      </c>
      <c r="AI168" t="s">
        <v>707</v>
      </c>
      <c r="AJ168" t="s">
        <v>707</v>
      </c>
      <c r="AO168" t="s">
        <v>3062</v>
      </c>
      <c r="AQ168" s="24">
        <v>46084.523657407408</v>
      </c>
    </row>
    <row r="169" spans="2:43" x14ac:dyDescent="0.25">
      <c r="B169">
        <v>142</v>
      </c>
      <c r="C169">
        <v>7</v>
      </c>
      <c r="D169" s="21">
        <v>46087.489583333336</v>
      </c>
      <c r="E169" s="31">
        <v>45</v>
      </c>
      <c r="F169" t="s">
        <v>707</v>
      </c>
      <c r="G169">
        <v>73394182862</v>
      </c>
      <c r="H169" t="s">
        <v>1958</v>
      </c>
      <c r="I169" s="5">
        <v>31</v>
      </c>
      <c r="J169" t="s">
        <v>1098</v>
      </c>
      <c r="K169" s="18">
        <v>42364</v>
      </c>
      <c r="L169" t="s">
        <v>1959</v>
      </c>
      <c r="M169" t="s">
        <v>1960</v>
      </c>
      <c r="N169">
        <v>36704556434</v>
      </c>
      <c r="O169" t="s">
        <v>1961</v>
      </c>
      <c r="P169" t="s">
        <v>1962</v>
      </c>
      <c r="Q169" t="s">
        <v>1961</v>
      </c>
      <c r="R169" s="34"/>
      <c r="V169">
        <v>49</v>
      </c>
      <c r="W169">
        <v>42</v>
      </c>
      <c r="X169" s="5">
        <v>91</v>
      </c>
      <c r="Y169" s="5">
        <v>113.75</v>
      </c>
      <c r="Z169" s="33">
        <v>25</v>
      </c>
      <c r="AA169" s="5">
        <v>138.75</v>
      </c>
      <c r="AB169" s="9">
        <v>169.75</v>
      </c>
      <c r="AI169" t="s">
        <v>707</v>
      </c>
      <c r="AJ169" t="s">
        <v>707</v>
      </c>
      <c r="AO169" t="s">
        <v>2902</v>
      </c>
      <c r="AQ169" s="24">
        <v>46084.523657407408</v>
      </c>
    </row>
    <row r="170" spans="2:43" x14ac:dyDescent="0.25">
      <c r="E170" s="19">
        <v>240</v>
      </c>
      <c r="G170">
        <v>73451670818</v>
      </c>
      <c r="H170" t="s">
        <v>1963</v>
      </c>
      <c r="I170" s="5">
        <v>0</v>
      </c>
      <c r="J170" t="s">
        <v>1101</v>
      </c>
      <c r="K170" s="18">
        <v>42326</v>
      </c>
      <c r="L170" t="s">
        <v>1964</v>
      </c>
      <c r="M170" t="s">
        <v>1965</v>
      </c>
      <c r="N170">
        <v>36703103125</v>
      </c>
      <c r="O170" t="s">
        <v>1966</v>
      </c>
      <c r="P170" t="s">
        <v>1967</v>
      </c>
      <c r="Q170" t="s">
        <v>1966</v>
      </c>
      <c r="R170" s="34" t="s">
        <v>1112</v>
      </c>
      <c r="S170" t="s">
        <v>44</v>
      </c>
      <c r="T170" t="s">
        <v>45</v>
      </c>
      <c r="U170" t="s">
        <v>46</v>
      </c>
      <c r="V170">
        <v>32</v>
      </c>
      <c r="W170">
        <v>22</v>
      </c>
      <c r="X170" s="5">
        <v>54</v>
      </c>
      <c r="Y170" s="5">
        <v>67.5</v>
      </c>
      <c r="Z170" s="33">
        <v>25</v>
      </c>
      <c r="AA170" s="5">
        <v>92.5</v>
      </c>
      <c r="AB170" s="9">
        <v>92.5</v>
      </c>
      <c r="AI170" t="s">
        <v>707</v>
      </c>
      <c r="AJ170" t="s">
        <v>707</v>
      </c>
      <c r="AK170" t="s">
        <v>707</v>
      </c>
      <c r="AL170" t="s">
        <v>707</v>
      </c>
      <c r="AO170" t="s">
        <v>3063</v>
      </c>
    </row>
    <row r="171" spans="2:43" x14ac:dyDescent="0.25">
      <c r="B171">
        <v>143</v>
      </c>
      <c r="C171">
        <v>7</v>
      </c>
      <c r="D171" s="21">
        <v>46087.489583333336</v>
      </c>
      <c r="E171">
        <v>205</v>
      </c>
      <c r="F171" t="s">
        <v>707</v>
      </c>
      <c r="G171">
        <v>73440202460</v>
      </c>
      <c r="H171" t="s">
        <v>1968</v>
      </c>
      <c r="I171" s="5">
        <v>28</v>
      </c>
      <c r="J171" t="s">
        <v>1101</v>
      </c>
      <c r="K171" s="18">
        <v>42444</v>
      </c>
      <c r="L171" t="s">
        <v>1969</v>
      </c>
      <c r="M171" t="s">
        <v>1970</v>
      </c>
      <c r="N171">
        <v>36709538013</v>
      </c>
      <c r="O171" t="s">
        <v>1971</v>
      </c>
      <c r="P171" t="s">
        <v>1972</v>
      </c>
      <c r="Q171" t="s">
        <v>1971</v>
      </c>
      <c r="R171" s="34" t="s">
        <v>2391</v>
      </c>
      <c r="S171" t="s">
        <v>544</v>
      </c>
      <c r="T171" t="s">
        <v>545</v>
      </c>
      <c r="U171" t="s">
        <v>147</v>
      </c>
      <c r="V171">
        <v>39</v>
      </c>
      <c r="W171">
        <v>26</v>
      </c>
      <c r="X171" s="5">
        <v>65</v>
      </c>
      <c r="Y171" s="5">
        <v>81.25</v>
      </c>
      <c r="Z171" s="33">
        <v>25</v>
      </c>
      <c r="AA171" s="5">
        <v>106.25</v>
      </c>
      <c r="AB171" s="9">
        <v>134.25</v>
      </c>
      <c r="AI171" t="s">
        <v>707</v>
      </c>
      <c r="AJ171" t="s">
        <v>707</v>
      </c>
      <c r="AK171" t="s">
        <v>707</v>
      </c>
      <c r="AL171" t="s">
        <v>707</v>
      </c>
      <c r="AO171" t="s">
        <v>3064</v>
      </c>
      <c r="AQ171" s="24">
        <v>46084.523657407408</v>
      </c>
    </row>
    <row r="172" spans="2:43" x14ac:dyDescent="0.25">
      <c r="B172">
        <v>234</v>
      </c>
      <c r="C172">
        <v>1</v>
      </c>
      <c r="D172" s="21">
        <v>46098.635416666664</v>
      </c>
      <c r="E172" s="31">
        <v>66</v>
      </c>
      <c r="F172" t="s">
        <v>707</v>
      </c>
      <c r="G172">
        <v>73596362201</v>
      </c>
      <c r="H172" t="s">
        <v>1973</v>
      </c>
      <c r="I172" s="5">
        <v>27</v>
      </c>
      <c r="J172" t="s">
        <v>1974</v>
      </c>
      <c r="K172" s="18">
        <v>42275</v>
      </c>
      <c r="L172" t="s">
        <v>1975</v>
      </c>
      <c r="M172" t="s">
        <v>1976</v>
      </c>
      <c r="N172">
        <v>36203212727</v>
      </c>
      <c r="O172" t="s">
        <v>1977</v>
      </c>
      <c r="P172" t="s">
        <v>1978</v>
      </c>
      <c r="Q172" t="s">
        <v>1977</v>
      </c>
      <c r="R172" s="34"/>
      <c r="V172">
        <v>45</v>
      </c>
      <c r="W172">
        <v>46</v>
      </c>
      <c r="X172" s="5">
        <v>91</v>
      </c>
      <c r="Y172" s="5">
        <v>113.75</v>
      </c>
      <c r="Z172" s="33">
        <v>25</v>
      </c>
      <c r="AA172" s="5">
        <v>138.75</v>
      </c>
      <c r="AB172" s="9">
        <v>165.75</v>
      </c>
      <c r="AI172" t="s">
        <v>707</v>
      </c>
      <c r="AO172" t="s">
        <v>3065</v>
      </c>
      <c r="AQ172" s="24">
        <v>46084.523599537039</v>
      </c>
    </row>
    <row r="173" spans="2:43" x14ac:dyDescent="0.25">
      <c r="B173">
        <v>144</v>
      </c>
      <c r="C173">
        <v>8</v>
      </c>
      <c r="D173" s="21">
        <v>46087.489583333336</v>
      </c>
      <c r="E173" s="31">
        <v>52</v>
      </c>
      <c r="F173" t="s">
        <v>707</v>
      </c>
      <c r="G173">
        <v>73409303441</v>
      </c>
      <c r="H173" t="s">
        <v>1979</v>
      </c>
      <c r="I173" s="5">
        <v>47</v>
      </c>
      <c r="J173" t="s">
        <v>1097</v>
      </c>
      <c r="K173" s="18">
        <v>42268</v>
      </c>
      <c r="L173" t="s">
        <v>1980</v>
      </c>
      <c r="M173" t="s">
        <v>1981</v>
      </c>
      <c r="N173">
        <v>36309139977</v>
      </c>
      <c r="O173" t="s">
        <v>1982</v>
      </c>
      <c r="P173" t="s">
        <v>1983</v>
      </c>
      <c r="Q173" t="s">
        <v>1982</v>
      </c>
      <c r="R173" s="34" t="s">
        <v>2404</v>
      </c>
      <c r="S173" t="s">
        <v>95</v>
      </c>
      <c r="T173" t="s">
        <v>96</v>
      </c>
      <c r="U173" t="s">
        <v>97</v>
      </c>
      <c r="V173">
        <v>34</v>
      </c>
      <c r="W173">
        <v>43</v>
      </c>
      <c r="X173" s="5">
        <v>77</v>
      </c>
      <c r="Y173" s="5">
        <v>96.25</v>
      </c>
      <c r="Z173" s="33">
        <v>25</v>
      </c>
      <c r="AA173" s="5">
        <v>121.25</v>
      </c>
      <c r="AB173" s="9">
        <v>168.25</v>
      </c>
      <c r="AI173" t="s">
        <v>707</v>
      </c>
      <c r="AK173" t="s">
        <v>707</v>
      </c>
      <c r="AO173" t="s">
        <v>3066</v>
      </c>
      <c r="AQ173" s="24">
        <v>46084.523668981485</v>
      </c>
    </row>
    <row r="174" spans="2:43" x14ac:dyDescent="0.25">
      <c r="B174">
        <v>145</v>
      </c>
      <c r="C174">
        <v>8</v>
      </c>
      <c r="D174" s="21">
        <v>46087.489583333336</v>
      </c>
      <c r="E174" s="31">
        <v>33</v>
      </c>
      <c r="F174" t="s">
        <v>707</v>
      </c>
      <c r="G174">
        <v>73459681193</v>
      </c>
      <c r="H174" t="s">
        <v>1984</v>
      </c>
      <c r="I174" s="5">
        <v>44</v>
      </c>
      <c r="J174" t="s">
        <v>1100</v>
      </c>
      <c r="K174" s="18">
        <v>42410</v>
      </c>
      <c r="L174" t="s">
        <v>1985</v>
      </c>
      <c r="M174" t="s">
        <v>1986</v>
      </c>
      <c r="N174">
        <v>36303777728</v>
      </c>
      <c r="O174" t="s">
        <v>1987</v>
      </c>
      <c r="P174" t="s">
        <v>1985</v>
      </c>
      <c r="Q174" t="s">
        <v>1987</v>
      </c>
      <c r="R174" s="34"/>
      <c r="V174">
        <v>44</v>
      </c>
      <c r="W174">
        <v>39</v>
      </c>
      <c r="X174" s="5">
        <v>83</v>
      </c>
      <c r="Y174" s="5">
        <v>103.75</v>
      </c>
      <c r="Z174" s="33">
        <v>25</v>
      </c>
      <c r="AA174" s="5">
        <v>128.75</v>
      </c>
      <c r="AB174" s="9">
        <v>172.75</v>
      </c>
      <c r="AH174" t="s">
        <v>1988</v>
      </c>
      <c r="AI174" t="s">
        <v>707</v>
      </c>
      <c r="AJ174" t="s">
        <v>707</v>
      </c>
      <c r="AK174" t="s">
        <v>707</v>
      </c>
      <c r="AL174" t="s">
        <v>707</v>
      </c>
      <c r="AO174" t="s">
        <v>3067</v>
      </c>
      <c r="AQ174" s="24">
        <v>46084.523668981485</v>
      </c>
    </row>
    <row r="175" spans="2:43" x14ac:dyDescent="0.25">
      <c r="B175">
        <v>146</v>
      </c>
      <c r="C175">
        <v>8</v>
      </c>
      <c r="D175" s="21">
        <v>46087.489583333336</v>
      </c>
      <c r="E175">
        <v>166</v>
      </c>
      <c r="F175" t="s">
        <v>707</v>
      </c>
      <c r="G175">
        <v>73343503948</v>
      </c>
      <c r="H175" t="s">
        <v>1989</v>
      </c>
      <c r="I175" s="5">
        <v>42</v>
      </c>
      <c r="J175" t="s">
        <v>1101</v>
      </c>
      <c r="K175" s="18">
        <v>42374</v>
      </c>
      <c r="L175" t="s">
        <v>1990</v>
      </c>
      <c r="M175" t="s">
        <v>1991</v>
      </c>
      <c r="N175">
        <v>36302414366</v>
      </c>
      <c r="O175" t="s">
        <v>1992</v>
      </c>
      <c r="P175" t="s">
        <v>1993</v>
      </c>
      <c r="Q175" t="s">
        <v>1992</v>
      </c>
      <c r="R175" s="34" t="s">
        <v>1112</v>
      </c>
      <c r="S175" t="s">
        <v>44</v>
      </c>
      <c r="T175" t="s">
        <v>45</v>
      </c>
      <c r="U175" t="s">
        <v>46</v>
      </c>
      <c r="V175">
        <v>32</v>
      </c>
      <c r="W175">
        <v>31</v>
      </c>
      <c r="X175" s="5">
        <v>63</v>
      </c>
      <c r="Y175" s="5">
        <v>78.75</v>
      </c>
      <c r="Z175" s="33">
        <v>24.55</v>
      </c>
      <c r="AA175" s="5">
        <v>103.3</v>
      </c>
      <c r="AB175" s="9">
        <v>145.30000000000001</v>
      </c>
      <c r="AI175" t="s">
        <v>707</v>
      </c>
      <c r="AJ175" t="s">
        <v>707</v>
      </c>
      <c r="AK175" t="s">
        <v>707</v>
      </c>
      <c r="AL175" t="s">
        <v>707</v>
      </c>
      <c r="AO175" t="s">
        <v>3068</v>
      </c>
      <c r="AQ175" s="24">
        <v>46084.523668981485</v>
      </c>
    </row>
    <row r="176" spans="2:43" x14ac:dyDescent="0.25">
      <c r="B176">
        <v>147</v>
      </c>
      <c r="C176">
        <v>7</v>
      </c>
      <c r="D176" s="21">
        <v>46087.489583333336</v>
      </c>
      <c r="E176" s="31">
        <v>80</v>
      </c>
      <c r="F176" t="s">
        <v>707</v>
      </c>
      <c r="G176">
        <v>73374399700</v>
      </c>
      <c r="H176" t="s">
        <v>1994</v>
      </c>
      <c r="I176" s="5">
        <v>49</v>
      </c>
      <c r="J176" t="s">
        <v>1096</v>
      </c>
      <c r="K176" s="18">
        <v>42120</v>
      </c>
      <c r="L176" t="s">
        <v>1995</v>
      </c>
      <c r="M176" t="s">
        <v>1996</v>
      </c>
      <c r="N176">
        <v>36302314264</v>
      </c>
      <c r="O176" t="s">
        <v>1997</v>
      </c>
      <c r="P176" t="s">
        <v>1998</v>
      </c>
      <c r="Q176" t="s">
        <v>1997</v>
      </c>
      <c r="R176" s="34"/>
      <c r="V176">
        <v>36</v>
      </c>
      <c r="W176">
        <v>35</v>
      </c>
      <c r="X176" s="5">
        <v>71</v>
      </c>
      <c r="Y176" s="5">
        <v>88.75</v>
      </c>
      <c r="Z176" s="33">
        <v>25</v>
      </c>
      <c r="AA176" s="5">
        <v>113.75</v>
      </c>
      <c r="AB176" s="9">
        <v>162.75</v>
      </c>
      <c r="AE176" t="s">
        <v>707</v>
      </c>
      <c r="AI176" t="s">
        <v>707</v>
      </c>
      <c r="AJ176" t="s">
        <v>707</v>
      </c>
      <c r="AK176" t="s">
        <v>707</v>
      </c>
      <c r="AL176" t="s">
        <v>707</v>
      </c>
      <c r="AO176" t="s">
        <v>3069</v>
      </c>
      <c r="AQ176" s="24">
        <v>46084.523657407408</v>
      </c>
    </row>
    <row r="177" spans="2:43" x14ac:dyDescent="0.25">
      <c r="B177">
        <v>148</v>
      </c>
      <c r="C177">
        <v>8</v>
      </c>
      <c r="D177" s="21">
        <v>46087.489583333336</v>
      </c>
      <c r="E177" s="31">
        <v>43</v>
      </c>
      <c r="F177" t="s">
        <v>707</v>
      </c>
      <c r="G177">
        <v>73483894300</v>
      </c>
      <c r="H177" t="s">
        <v>1999</v>
      </c>
      <c r="I177" s="5">
        <v>48</v>
      </c>
      <c r="J177" t="s">
        <v>1105</v>
      </c>
      <c r="K177" s="18">
        <v>42315</v>
      </c>
      <c r="L177" t="s">
        <v>2000</v>
      </c>
      <c r="M177" t="s">
        <v>2001</v>
      </c>
      <c r="N177">
        <v>36205320732</v>
      </c>
      <c r="O177" t="s">
        <v>2002</v>
      </c>
      <c r="P177" t="s">
        <v>2003</v>
      </c>
      <c r="Q177" t="s">
        <v>2004</v>
      </c>
      <c r="R177" s="34" t="s">
        <v>2405</v>
      </c>
      <c r="S177" t="s">
        <v>200</v>
      </c>
      <c r="T177" t="s">
        <v>201</v>
      </c>
      <c r="U177" t="s">
        <v>202</v>
      </c>
      <c r="V177">
        <v>46</v>
      </c>
      <c r="W177">
        <v>32</v>
      </c>
      <c r="X177" s="5">
        <v>78</v>
      </c>
      <c r="Y177" s="5">
        <v>97.5</v>
      </c>
      <c r="Z177" s="33">
        <v>25</v>
      </c>
      <c r="AA177" s="5">
        <v>122.5</v>
      </c>
      <c r="AB177" s="9">
        <v>170.5</v>
      </c>
      <c r="AI177" t="s">
        <v>707</v>
      </c>
      <c r="AJ177" t="s">
        <v>707</v>
      </c>
      <c r="AK177" t="s">
        <v>707</v>
      </c>
      <c r="AL177" t="s">
        <v>707</v>
      </c>
      <c r="AO177" t="s">
        <v>3070</v>
      </c>
      <c r="AQ177" s="24">
        <v>46084.523668981485</v>
      </c>
    </row>
    <row r="178" spans="2:43" x14ac:dyDescent="0.25">
      <c r="B178">
        <v>149</v>
      </c>
      <c r="C178">
        <v>9</v>
      </c>
      <c r="D178" s="21">
        <v>46087.489583333336</v>
      </c>
      <c r="E178">
        <v>171</v>
      </c>
      <c r="F178" t="s">
        <v>707</v>
      </c>
      <c r="G178">
        <v>73451240657</v>
      </c>
      <c r="H178" t="s">
        <v>2005</v>
      </c>
      <c r="I178" s="5">
        <v>40</v>
      </c>
      <c r="J178" t="s">
        <v>1100</v>
      </c>
      <c r="K178" s="18">
        <v>42475</v>
      </c>
      <c r="L178" t="s">
        <v>2006</v>
      </c>
      <c r="M178" t="s">
        <v>2007</v>
      </c>
      <c r="N178">
        <v>36306821808</v>
      </c>
      <c r="O178" t="s">
        <v>2008</v>
      </c>
      <c r="P178" t="s">
        <v>2006</v>
      </c>
      <c r="Q178" t="s">
        <v>2008</v>
      </c>
      <c r="R178" s="34" t="s">
        <v>2405</v>
      </c>
      <c r="S178" t="s">
        <v>200</v>
      </c>
      <c r="T178" t="s">
        <v>201</v>
      </c>
      <c r="U178" t="s">
        <v>202</v>
      </c>
      <c r="V178">
        <v>34</v>
      </c>
      <c r="W178">
        <v>29</v>
      </c>
      <c r="X178" s="5">
        <v>63</v>
      </c>
      <c r="Y178" s="5">
        <v>78.75</v>
      </c>
      <c r="Z178" s="33">
        <v>25</v>
      </c>
      <c r="AA178" s="5">
        <v>103.75</v>
      </c>
      <c r="AB178" s="9">
        <v>143.75</v>
      </c>
      <c r="AI178" t="s">
        <v>707</v>
      </c>
      <c r="AJ178" t="s">
        <v>707</v>
      </c>
      <c r="AL178" t="s">
        <v>707</v>
      </c>
      <c r="AO178" t="s">
        <v>3071</v>
      </c>
      <c r="AQ178" s="24">
        <v>46084.523692129631</v>
      </c>
    </row>
    <row r="179" spans="2:43" x14ac:dyDescent="0.25">
      <c r="B179">
        <v>150</v>
      </c>
      <c r="C179">
        <v>9</v>
      </c>
      <c r="D179" s="21">
        <v>46087.489583333336</v>
      </c>
      <c r="E179" s="31">
        <v>51</v>
      </c>
      <c r="F179" t="s">
        <v>707</v>
      </c>
      <c r="G179">
        <v>73479782489</v>
      </c>
      <c r="H179" t="s">
        <v>2009</v>
      </c>
      <c r="I179" s="5">
        <v>41</v>
      </c>
      <c r="J179" t="s">
        <v>1101</v>
      </c>
      <c r="K179" s="18">
        <v>42395</v>
      </c>
      <c r="L179" t="s">
        <v>2010</v>
      </c>
      <c r="M179" t="s">
        <v>2011</v>
      </c>
      <c r="N179">
        <v>36203841325</v>
      </c>
      <c r="O179" t="s">
        <v>2012</v>
      </c>
      <c r="P179" t="s">
        <v>2009</v>
      </c>
      <c r="Q179" t="s">
        <v>2012</v>
      </c>
      <c r="R179" s="34" t="s">
        <v>2406</v>
      </c>
      <c r="S179" t="s">
        <v>281</v>
      </c>
      <c r="T179" t="s">
        <v>282</v>
      </c>
      <c r="U179" t="s">
        <v>283</v>
      </c>
      <c r="V179">
        <v>44</v>
      </c>
      <c r="W179">
        <v>38</v>
      </c>
      <c r="X179" s="5">
        <v>82</v>
      </c>
      <c r="Y179" s="5">
        <v>102.5</v>
      </c>
      <c r="Z179" s="33">
        <v>25</v>
      </c>
      <c r="AA179" s="5">
        <v>127.5</v>
      </c>
      <c r="AB179" s="9">
        <v>168.5</v>
      </c>
      <c r="AI179" t="s">
        <v>707</v>
      </c>
      <c r="AO179" t="s">
        <v>3072</v>
      </c>
      <c r="AQ179" s="24">
        <v>46084.523692129631</v>
      </c>
    </row>
    <row r="180" spans="2:43" x14ac:dyDescent="0.25">
      <c r="B180">
        <v>235</v>
      </c>
      <c r="C180">
        <v>2</v>
      </c>
      <c r="D180" s="21">
        <v>46098.635416666664</v>
      </c>
      <c r="E180" s="19">
        <v>224</v>
      </c>
      <c r="F180" t="s">
        <v>707</v>
      </c>
      <c r="G180">
        <v>73347281187</v>
      </c>
      <c r="H180" t="s">
        <v>2013</v>
      </c>
      <c r="I180" s="5">
        <v>36</v>
      </c>
      <c r="J180" t="s">
        <v>1096</v>
      </c>
      <c r="K180" s="18">
        <v>42211</v>
      </c>
      <c r="L180" t="s">
        <v>2014</v>
      </c>
      <c r="M180" t="s">
        <v>2015</v>
      </c>
      <c r="N180">
        <v>36303636326</v>
      </c>
      <c r="O180" t="s">
        <v>2016</v>
      </c>
      <c r="P180" t="s">
        <v>2017</v>
      </c>
      <c r="Q180" t="s">
        <v>2016</v>
      </c>
      <c r="R180" s="34"/>
      <c r="V180">
        <v>29</v>
      </c>
      <c r="W180">
        <v>24</v>
      </c>
      <c r="X180" s="5">
        <v>53</v>
      </c>
      <c r="Y180" s="5">
        <v>66.25</v>
      </c>
      <c r="Z180" s="33">
        <v>21.43</v>
      </c>
      <c r="AA180" s="5">
        <v>87.68</v>
      </c>
      <c r="AB180" s="9">
        <v>123.68</v>
      </c>
      <c r="AI180" t="s">
        <v>707</v>
      </c>
      <c r="AJ180" t="s">
        <v>707</v>
      </c>
      <c r="AK180" t="s">
        <v>707</v>
      </c>
      <c r="AL180" t="s">
        <v>707</v>
      </c>
      <c r="AO180" t="s">
        <v>3073</v>
      </c>
      <c r="AQ180" s="24">
        <v>46084.523125</v>
      </c>
    </row>
    <row r="181" spans="2:43" x14ac:dyDescent="0.25">
      <c r="B181">
        <v>151</v>
      </c>
      <c r="C181">
        <v>9</v>
      </c>
      <c r="D181" s="21">
        <v>46087.489583333336</v>
      </c>
      <c r="E181">
        <v>106</v>
      </c>
      <c r="F181" t="s">
        <v>707</v>
      </c>
      <c r="G181">
        <v>73427679480</v>
      </c>
      <c r="H181" t="s">
        <v>2018</v>
      </c>
      <c r="I181" s="5">
        <v>47</v>
      </c>
      <c r="J181" t="s">
        <v>1096</v>
      </c>
      <c r="K181" s="18">
        <v>42347</v>
      </c>
      <c r="L181" t="s">
        <v>2019</v>
      </c>
      <c r="M181" t="s">
        <v>2020</v>
      </c>
      <c r="N181">
        <v>36703730127</v>
      </c>
      <c r="O181" t="s">
        <v>2021</v>
      </c>
      <c r="P181" t="s">
        <v>2022</v>
      </c>
      <c r="Q181" t="s">
        <v>2021</v>
      </c>
      <c r="R181" s="34" t="s">
        <v>2407</v>
      </c>
      <c r="S181" t="s">
        <v>412</v>
      </c>
      <c r="T181" t="s">
        <v>413</v>
      </c>
      <c r="U181" t="s">
        <v>414</v>
      </c>
      <c r="V181">
        <v>36</v>
      </c>
      <c r="W181">
        <v>33</v>
      </c>
      <c r="X181" s="5">
        <v>69</v>
      </c>
      <c r="Y181" s="5">
        <v>86.25</v>
      </c>
      <c r="Z181" s="33">
        <v>23.5</v>
      </c>
      <c r="AA181" s="5">
        <v>109.75</v>
      </c>
      <c r="AB181" s="9">
        <v>156.75</v>
      </c>
      <c r="AI181" t="s">
        <v>707</v>
      </c>
      <c r="AJ181" t="s">
        <v>707</v>
      </c>
      <c r="AK181" t="s">
        <v>707</v>
      </c>
      <c r="AL181" t="s">
        <v>707</v>
      </c>
      <c r="AO181" t="s">
        <v>3074</v>
      </c>
      <c r="AQ181" s="24">
        <v>46084.523692129631</v>
      </c>
    </row>
    <row r="182" spans="2:43" x14ac:dyDescent="0.25">
      <c r="B182">
        <v>152</v>
      </c>
      <c r="C182">
        <v>1</v>
      </c>
      <c r="D182" s="21">
        <v>46087.510416666664</v>
      </c>
      <c r="E182" s="31">
        <v>29</v>
      </c>
      <c r="F182" t="s">
        <v>707</v>
      </c>
      <c r="G182">
        <v>73355399771</v>
      </c>
      <c r="H182" t="s">
        <v>2023</v>
      </c>
      <c r="I182" s="5">
        <v>45</v>
      </c>
      <c r="J182" t="s">
        <v>1098</v>
      </c>
      <c r="K182" s="18">
        <v>42332</v>
      </c>
      <c r="L182" t="s">
        <v>2024</v>
      </c>
      <c r="M182" t="s">
        <v>2025</v>
      </c>
      <c r="N182">
        <v>36309010348</v>
      </c>
      <c r="O182" t="s">
        <v>2026</v>
      </c>
      <c r="P182" t="s">
        <v>2027</v>
      </c>
      <c r="Q182" t="s">
        <v>2028</v>
      </c>
      <c r="R182" s="34" t="s">
        <v>1118</v>
      </c>
      <c r="S182" t="s">
        <v>596</v>
      </c>
      <c r="T182" t="s">
        <v>597</v>
      </c>
      <c r="U182" t="s">
        <v>598</v>
      </c>
      <c r="V182">
        <v>46</v>
      </c>
      <c r="W182">
        <v>37</v>
      </c>
      <c r="X182" s="5">
        <v>83</v>
      </c>
      <c r="Y182" s="5">
        <v>103.75</v>
      </c>
      <c r="Z182" s="33">
        <v>24.54</v>
      </c>
      <c r="AA182" s="5">
        <v>128.29</v>
      </c>
      <c r="AB182" s="9">
        <v>173.29</v>
      </c>
      <c r="AK182" t="s">
        <v>707</v>
      </c>
      <c r="AO182" t="s">
        <v>3075</v>
      </c>
      <c r="AQ182" s="24">
        <v>46084.5237037037</v>
      </c>
    </row>
    <row r="183" spans="2:43" x14ac:dyDescent="0.25">
      <c r="B183">
        <v>236</v>
      </c>
      <c r="C183">
        <v>1</v>
      </c>
      <c r="D183" s="21">
        <v>46098.635416666664</v>
      </c>
      <c r="E183">
        <v>226</v>
      </c>
      <c r="F183" t="s">
        <v>707</v>
      </c>
      <c r="G183">
        <v>73397095466</v>
      </c>
      <c r="H183" t="s">
        <v>2029</v>
      </c>
      <c r="I183" s="5">
        <v>0</v>
      </c>
      <c r="J183" t="s">
        <v>1103</v>
      </c>
      <c r="K183" s="18">
        <v>42234</v>
      </c>
      <c r="L183" t="s">
        <v>2030</v>
      </c>
      <c r="M183" t="s">
        <v>2031</v>
      </c>
      <c r="N183">
        <v>36304831320</v>
      </c>
      <c r="O183" t="s">
        <v>2032</v>
      </c>
      <c r="P183" t="s">
        <v>2030</v>
      </c>
      <c r="Q183" t="s">
        <v>2032</v>
      </c>
      <c r="R183" s="34" t="s">
        <v>2845</v>
      </c>
      <c r="S183" t="s">
        <v>1390</v>
      </c>
      <c r="T183" t="s">
        <v>2838</v>
      </c>
      <c r="U183" t="s">
        <v>2839</v>
      </c>
      <c r="V183">
        <v>37</v>
      </c>
      <c r="W183">
        <v>42</v>
      </c>
      <c r="X183" s="5">
        <v>79</v>
      </c>
      <c r="Y183" s="5">
        <v>98.75</v>
      </c>
      <c r="Z183" s="33">
        <v>22.72</v>
      </c>
      <c r="AA183" s="5">
        <v>121.47</v>
      </c>
      <c r="AB183" s="9">
        <v>121.47</v>
      </c>
      <c r="AI183" t="s">
        <v>707</v>
      </c>
      <c r="AJ183" t="s">
        <v>707</v>
      </c>
      <c r="AK183" t="s">
        <v>707</v>
      </c>
      <c r="AL183" t="s">
        <v>707</v>
      </c>
      <c r="AO183" t="s">
        <v>3076</v>
      </c>
      <c r="AQ183" s="24">
        <v>46084.523599537039</v>
      </c>
    </row>
    <row r="184" spans="2:43" x14ac:dyDescent="0.25">
      <c r="B184">
        <v>153</v>
      </c>
      <c r="C184">
        <v>1</v>
      </c>
      <c r="D184" s="21">
        <v>46087.510416666664</v>
      </c>
      <c r="E184">
        <v>244</v>
      </c>
      <c r="F184" t="s">
        <v>707</v>
      </c>
      <c r="G184">
        <v>73395980409</v>
      </c>
      <c r="H184" t="s">
        <v>2033</v>
      </c>
      <c r="I184" s="5">
        <v>0</v>
      </c>
      <c r="J184" t="s">
        <v>1100</v>
      </c>
      <c r="K184" s="18">
        <v>42332</v>
      </c>
      <c r="L184" t="s">
        <v>2034</v>
      </c>
      <c r="M184" t="s">
        <v>2035</v>
      </c>
      <c r="N184">
        <v>36302646592</v>
      </c>
      <c r="O184" t="s">
        <v>2036</v>
      </c>
      <c r="P184" t="s">
        <v>2037</v>
      </c>
      <c r="Q184" t="s">
        <v>2036</v>
      </c>
      <c r="R184" s="34" t="s">
        <v>2392</v>
      </c>
      <c r="S184" t="s">
        <v>354</v>
      </c>
      <c r="T184" t="s">
        <v>355</v>
      </c>
      <c r="U184" t="s">
        <v>356</v>
      </c>
      <c r="V184">
        <v>33</v>
      </c>
      <c r="W184">
        <v>35</v>
      </c>
      <c r="X184" s="5">
        <v>68</v>
      </c>
      <c r="Y184" s="5">
        <v>85</v>
      </c>
      <c r="Z184" s="33">
        <v>0</v>
      </c>
      <c r="AA184" s="5">
        <v>85</v>
      </c>
      <c r="AB184" s="9">
        <v>85</v>
      </c>
      <c r="AI184" t="s">
        <v>707</v>
      </c>
      <c r="AJ184" t="s">
        <v>707</v>
      </c>
      <c r="AK184" t="s">
        <v>707</v>
      </c>
      <c r="AL184" t="s">
        <v>707</v>
      </c>
      <c r="AN184" t="s">
        <v>2895</v>
      </c>
      <c r="AO184" t="s">
        <v>3077</v>
      </c>
      <c r="AQ184" s="24">
        <v>46084.5237037037</v>
      </c>
    </row>
    <row r="185" spans="2:43" x14ac:dyDescent="0.25">
      <c r="B185">
        <v>154</v>
      </c>
      <c r="C185">
        <v>1</v>
      </c>
      <c r="D185" s="21">
        <v>46087.510416666664</v>
      </c>
      <c r="E185" s="31">
        <v>17</v>
      </c>
      <c r="F185" t="s">
        <v>707</v>
      </c>
      <c r="G185">
        <v>73457052387</v>
      </c>
      <c r="H185" t="s">
        <v>2038</v>
      </c>
      <c r="I185" s="5">
        <v>48</v>
      </c>
      <c r="J185" t="s">
        <v>1100</v>
      </c>
      <c r="K185" s="18">
        <v>42329</v>
      </c>
      <c r="L185" t="s">
        <v>2039</v>
      </c>
      <c r="M185" t="s">
        <v>2040</v>
      </c>
      <c r="N185">
        <v>36203262639</v>
      </c>
      <c r="O185" t="s">
        <v>2041</v>
      </c>
      <c r="P185" t="s">
        <v>2042</v>
      </c>
      <c r="Q185" t="s">
        <v>2041</v>
      </c>
      <c r="R185" s="34" t="s">
        <v>1117</v>
      </c>
      <c r="S185" t="s">
        <v>285</v>
      </c>
      <c r="T185" t="s">
        <v>286</v>
      </c>
      <c r="U185" t="s">
        <v>287</v>
      </c>
      <c r="V185">
        <v>45</v>
      </c>
      <c r="W185">
        <v>37</v>
      </c>
      <c r="X185" s="5">
        <v>82</v>
      </c>
      <c r="Y185" s="5">
        <v>102.5</v>
      </c>
      <c r="Z185" s="33">
        <v>25</v>
      </c>
      <c r="AA185" s="5">
        <v>127.5</v>
      </c>
      <c r="AB185" s="9">
        <v>175.5</v>
      </c>
      <c r="AD185" t="s">
        <v>707</v>
      </c>
      <c r="AI185" t="s">
        <v>707</v>
      </c>
      <c r="AJ185" t="s">
        <v>707</v>
      </c>
      <c r="AK185" t="s">
        <v>707</v>
      </c>
      <c r="AL185" t="s">
        <v>707</v>
      </c>
      <c r="AO185" t="s">
        <v>3078</v>
      </c>
      <c r="AQ185" s="24">
        <v>46084.5237037037</v>
      </c>
    </row>
    <row r="186" spans="2:43" x14ac:dyDescent="0.25">
      <c r="B186">
        <v>155</v>
      </c>
      <c r="C186">
        <v>1</v>
      </c>
      <c r="D186" s="21">
        <v>46087.510416666664</v>
      </c>
      <c r="E186" s="31">
        <v>53</v>
      </c>
      <c r="F186" t="s">
        <v>707</v>
      </c>
      <c r="G186">
        <v>73355322097</v>
      </c>
      <c r="H186" t="s">
        <v>2043</v>
      </c>
      <c r="I186" s="5">
        <v>48</v>
      </c>
      <c r="J186" t="s">
        <v>1347</v>
      </c>
      <c r="K186" s="18">
        <v>42232</v>
      </c>
      <c r="L186" t="s">
        <v>2044</v>
      </c>
      <c r="M186" t="s">
        <v>2045</v>
      </c>
      <c r="N186">
        <v>36702768977</v>
      </c>
      <c r="O186" t="s">
        <v>2046</v>
      </c>
      <c r="P186" t="s">
        <v>2044</v>
      </c>
      <c r="Q186" t="s">
        <v>2047</v>
      </c>
      <c r="R186" s="34" t="s">
        <v>1110</v>
      </c>
      <c r="S186" t="s">
        <v>327</v>
      </c>
      <c r="T186" t="s">
        <v>328</v>
      </c>
      <c r="U186" t="s">
        <v>329</v>
      </c>
      <c r="V186">
        <v>40</v>
      </c>
      <c r="W186">
        <v>36</v>
      </c>
      <c r="X186" s="5">
        <v>76</v>
      </c>
      <c r="Y186" s="5">
        <v>95</v>
      </c>
      <c r="Z186" s="33">
        <v>25</v>
      </c>
      <c r="AA186" s="5">
        <v>120</v>
      </c>
      <c r="AB186" s="9">
        <v>168</v>
      </c>
      <c r="AD186" t="s">
        <v>707</v>
      </c>
      <c r="AH186" t="s">
        <v>2048</v>
      </c>
      <c r="AI186" t="s">
        <v>707</v>
      </c>
      <c r="AJ186" t="s">
        <v>707</v>
      </c>
      <c r="AK186" t="s">
        <v>707</v>
      </c>
      <c r="AL186" t="s">
        <v>707</v>
      </c>
      <c r="AM186" t="s">
        <v>2049</v>
      </c>
      <c r="AO186" t="s">
        <v>3079</v>
      </c>
      <c r="AQ186" s="24">
        <v>46084.5237037037</v>
      </c>
    </row>
    <row r="187" spans="2:43" x14ac:dyDescent="0.25">
      <c r="E187" s="19">
        <v>241</v>
      </c>
      <c r="G187">
        <v>73379215029</v>
      </c>
      <c r="H187" t="s">
        <v>2050</v>
      </c>
      <c r="I187" s="5">
        <v>0</v>
      </c>
      <c r="J187" t="s">
        <v>1097</v>
      </c>
      <c r="K187" s="18">
        <v>42152</v>
      </c>
      <c r="L187" t="s">
        <v>2051</v>
      </c>
      <c r="M187" t="s">
        <v>2052</v>
      </c>
      <c r="N187">
        <v>36707779777</v>
      </c>
      <c r="O187" t="s">
        <v>2053</v>
      </c>
      <c r="P187" t="s">
        <v>2054</v>
      </c>
      <c r="Q187" t="s">
        <v>2053</v>
      </c>
      <c r="R187" s="34" t="s">
        <v>2408</v>
      </c>
      <c r="S187" t="s">
        <v>556</v>
      </c>
      <c r="T187" t="s">
        <v>557</v>
      </c>
      <c r="U187" t="s">
        <v>558</v>
      </c>
      <c r="V187">
        <v>24</v>
      </c>
      <c r="W187">
        <v>27</v>
      </c>
      <c r="X187" s="5">
        <v>51</v>
      </c>
      <c r="Y187" s="5">
        <v>63.75</v>
      </c>
      <c r="Z187" s="33">
        <v>24.5</v>
      </c>
      <c r="AA187" s="5">
        <v>88.25</v>
      </c>
      <c r="AB187" s="9">
        <v>88.25</v>
      </c>
      <c r="AI187" t="s">
        <v>707</v>
      </c>
      <c r="AO187" t="s">
        <v>3080</v>
      </c>
    </row>
    <row r="188" spans="2:43" x14ac:dyDescent="0.25">
      <c r="B188">
        <v>156</v>
      </c>
      <c r="C188">
        <v>2</v>
      </c>
      <c r="D188" s="21">
        <v>46087.510416666664</v>
      </c>
      <c r="E188">
        <v>136</v>
      </c>
      <c r="F188" t="s">
        <v>707</v>
      </c>
      <c r="G188">
        <v>73542078254</v>
      </c>
      <c r="H188" t="s">
        <v>2055</v>
      </c>
      <c r="I188" s="5">
        <v>35</v>
      </c>
      <c r="J188" t="s">
        <v>1096</v>
      </c>
      <c r="K188" s="18">
        <v>42717</v>
      </c>
      <c r="L188" t="s">
        <v>2056</v>
      </c>
      <c r="M188" t="s">
        <v>2057</v>
      </c>
      <c r="N188">
        <v>36704140788</v>
      </c>
      <c r="O188" t="s">
        <v>2058</v>
      </c>
      <c r="P188" t="s">
        <v>2056</v>
      </c>
      <c r="Q188" t="s">
        <v>2058</v>
      </c>
      <c r="R188" s="34" t="s">
        <v>2374</v>
      </c>
      <c r="S188" t="s">
        <v>137</v>
      </c>
      <c r="T188" t="s">
        <v>138</v>
      </c>
      <c r="U188" t="s">
        <v>139</v>
      </c>
      <c r="V188">
        <v>39</v>
      </c>
      <c r="W188">
        <v>34</v>
      </c>
      <c r="X188" s="5">
        <v>73</v>
      </c>
      <c r="Y188" s="5">
        <v>91.25</v>
      </c>
      <c r="Z188" s="33">
        <v>24.55</v>
      </c>
      <c r="AA188" s="5">
        <v>115.8</v>
      </c>
      <c r="AB188" s="9">
        <v>150.80000000000001</v>
      </c>
      <c r="AK188" t="s">
        <v>707</v>
      </c>
      <c r="AO188" t="s">
        <v>3081</v>
      </c>
      <c r="AQ188" s="24">
        <v>46084.523715277777</v>
      </c>
    </row>
    <row r="189" spans="2:43" x14ac:dyDescent="0.25">
      <c r="B189">
        <v>157</v>
      </c>
      <c r="C189">
        <v>2</v>
      </c>
      <c r="D189" s="21">
        <v>46087.510416666664</v>
      </c>
      <c r="E189">
        <v>128</v>
      </c>
      <c r="F189" t="s">
        <v>707</v>
      </c>
      <c r="G189">
        <v>73375728859</v>
      </c>
      <c r="H189" t="s">
        <v>2059</v>
      </c>
      <c r="I189" s="5">
        <v>46</v>
      </c>
      <c r="J189" t="s">
        <v>1097</v>
      </c>
      <c r="K189" s="18">
        <v>42208</v>
      </c>
      <c r="L189" t="s">
        <v>2060</v>
      </c>
      <c r="M189" t="s">
        <v>2061</v>
      </c>
      <c r="N189">
        <v>36309015210</v>
      </c>
      <c r="O189" t="s">
        <v>2062</v>
      </c>
      <c r="P189" t="s">
        <v>2063</v>
      </c>
      <c r="Q189" t="s">
        <v>2062</v>
      </c>
      <c r="R189" s="34" t="s">
        <v>1111</v>
      </c>
      <c r="S189" t="s">
        <v>613</v>
      </c>
      <c r="T189" t="s">
        <v>614</v>
      </c>
      <c r="U189" t="s">
        <v>615</v>
      </c>
      <c r="V189">
        <v>35</v>
      </c>
      <c r="W189">
        <v>31</v>
      </c>
      <c r="X189" s="5">
        <v>66</v>
      </c>
      <c r="Y189" s="5">
        <v>82.5</v>
      </c>
      <c r="Z189" s="33">
        <v>24.5</v>
      </c>
      <c r="AA189" s="5">
        <v>107</v>
      </c>
      <c r="AB189" s="9">
        <v>153</v>
      </c>
      <c r="AI189" t="s">
        <v>707</v>
      </c>
      <c r="AJ189" t="s">
        <v>707</v>
      </c>
      <c r="AK189" t="s">
        <v>707</v>
      </c>
      <c r="AL189" t="s">
        <v>707</v>
      </c>
      <c r="AO189" t="s">
        <v>3082</v>
      </c>
      <c r="AQ189" s="24">
        <v>46084.523715277777</v>
      </c>
    </row>
    <row r="190" spans="2:43" x14ac:dyDescent="0.25">
      <c r="B190">
        <v>158</v>
      </c>
      <c r="C190">
        <v>2</v>
      </c>
      <c r="D190" s="21">
        <v>46087.510416666664</v>
      </c>
      <c r="E190">
        <v>195</v>
      </c>
      <c r="F190" t="s">
        <v>707</v>
      </c>
      <c r="G190">
        <v>73367209314</v>
      </c>
      <c r="H190" t="s">
        <v>2064</v>
      </c>
      <c r="I190" s="5">
        <v>10</v>
      </c>
      <c r="J190" t="s">
        <v>1101</v>
      </c>
      <c r="K190" s="18">
        <v>42234</v>
      </c>
      <c r="L190" t="s">
        <v>2065</v>
      </c>
      <c r="M190" t="s">
        <v>2066</v>
      </c>
      <c r="N190">
        <v>36203195080</v>
      </c>
      <c r="O190" t="s">
        <v>2067</v>
      </c>
      <c r="P190" t="s">
        <v>2068</v>
      </c>
      <c r="Q190" t="s">
        <v>2067</v>
      </c>
      <c r="R190" s="34" t="s">
        <v>2409</v>
      </c>
      <c r="S190" t="s">
        <v>170</v>
      </c>
      <c r="T190" t="s">
        <v>171</v>
      </c>
      <c r="U190" t="s">
        <v>147</v>
      </c>
      <c r="V190">
        <v>38</v>
      </c>
      <c r="W190">
        <v>43</v>
      </c>
      <c r="X190" s="5">
        <v>81</v>
      </c>
      <c r="Y190" s="5">
        <v>101.25</v>
      </c>
      <c r="Z190" s="33">
        <v>25</v>
      </c>
      <c r="AA190" s="5">
        <v>126.25</v>
      </c>
      <c r="AB190" s="9">
        <v>136.25</v>
      </c>
      <c r="AI190" t="s">
        <v>707</v>
      </c>
      <c r="AO190" t="s">
        <v>3083</v>
      </c>
      <c r="AQ190" s="24">
        <v>46084.523715277777</v>
      </c>
    </row>
    <row r="191" spans="2:43" x14ac:dyDescent="0.25">
      <c r="B191">
        <v>159</v>
      </c>
      <c r="C191">
        <v>2</v>
      </c>
      <c r="D191" s="21">
        <v>46087.510416666664</v>
      </c>
      <c r="E191">
        <v>141</v>
      </c>
      <c r="F191" t="s">
        <v>707</v>
      </c>
      <c r="G191">
        <v>73457498065</v>
      </c>
      <c r="H191" t="s">
        <v>2069</v>
      </c>
      <c r="I191" s="5">
        <v>33</v>
      </c>
      <c r="J191" t="s">
        <v>1101</v>
      </c>
      <c r="K191" s="18">
        <v>42342</v>
      </c>
      <c r="L191" t="s">
        <v>2070</v>
      </c>
      <c r="M191" t="s">
        <v>2071</v>
      </c>
      <c r="N191">
        <v>36302306741</v>
      </c>
      <c r="O191" t="s">
        <v>2072</v>
      </c>
      <c r="P191" t="s">
        <v>2073</v>
      </c>
      <c r="Q191" t="s">
        <v>2072</v>
      </c>
      <c r="R191" s="34"/>
      <c r="V191">
        <v>36</v>
      </c>
      <c r="W191">
        <v>38</v>
      </c>
      <c r="X191" s="5">
        <v>74</v>
      </c>
      <c r="Y191" s="5">
        <v>92.5</v>
      </c>
      <c r="Z191" s="33">
        <v>24.62</v>
      </c>
      <c r="AA191" s="5">
        <v>117.12</v>
      </c>
      <c r="AB191" s="9">
        <v>150.12</v>
      </c>
      <c r="AH191" t="s">
        <v>2074</v>
      </c>
      <c r="AI191" t="s">
        <v>707</v>
      </c>
      <c r="AJ191" t="s">
        <v>707</v>
      </c>
      <c r="AK191" t="s">
        <v>707</v>
      </c>
      <c r="AL191" t="s">
        <v>707</v>
      </c>
      <c r="AO191" t="s">
        <v>3084</v>
      </c>
      <c r="AQ191" s="24">
        <v>46084.523715277777</v>
      </c>
    </row>
    <row r="192" spans="2:43" x14ac:dyDescent="0.25">
      <c r="B192">
        <v>160</v>
      </c>
      <c r="C192">
        <v>3</v>
      </c>
      <c r="D192" s="21">
        <v>46087.510416666664</v>
      </c>
      <c r="E192" s="31">
        <v>16</v>
      </c>
      <c r="F192" t="s">
        <v>707</v>
      </c>
      <c r="G192">
        <v>73433826124</v>
      </c>
      <c r="H192" t="s">
        <v>2075</v>
      </c>
      <c r="I192" s="5">
        <v>47</v>
      </c>
      <c r="J192" t="s">
        <v>1101</v>
      </c>
      <c r="K192" s="18">
        <v>42380</v>
      </c>
      <c r="L192" t="s">
        <v>2076</v>
      </c>
      <c r="M192" t="s">
        <v>2077</v>
      </c>
      <c r="N192">
        <v>36309303022</v>
      </c>
      <c r="O192" t="s">
        <v>2078</v>
      </c>
      <c r="P192" t="s">
        <v>2079</v>
      </c>
      <c r="Q192" t="s">
        <v>2080</v>
      </c>
      <c r="R192" s="34" t="s">
        <v>1107</v>
      </c>
      <c r="S192" t="s">
        <v>610</v>
      </c>
      <c r="T192" t="s">
        <v>611</v>
      </c>
      <c r="U192" t="s">
        <v>612</v>
      </c>
      <c r="V192">
        <v>45</v>
      </c>
      <c r="W192">
        <v>38</v>
      </c>
      <c r="X192" s="5">
        <v>83</v>
      </c>
      <c r="Y192" s="5">
        <v>103.75</v>
      </c>
      <c r="Z192" s="33">
        <v>25</v>
      </c>
      <c r="AA192" s="5">
        <v>128.75</v>
      </c>
      <c r="AB192" s="9">
        <v>175.75</v>
      </c>
      <c r="AI192" t="s">
        <v>707</v>
      </c>
      <c r="AJ192" t="s">
        <v>707</v>
      </c>
      <c r="AK192" t="s">
        <v>707</v>
      </c>
      <c r="AL192" t="s">
        <v>707</v>
      </c>
      <c r="AO192" t="s">
        <v>3085</v>
      </c>
      <c r="AQ192" s="24">
        <v>46084.523738425924</v>
      </c>
    </row>
    <row r="193" spans="2:43" x14ac:dyDescent="0.25">
      <c r="B193">
        <v>161</v>
      </c>
      <c r="C193">
        <v>9</v>
      </c>
      <c r="D193" s="21">
        <v>46087.510416666664</v>
      </c>
      <c r="E193" s="31">
        <v>85</v>
      </c>
      <c r="F193" t="s">
        <v>707</v>
      </c>
      <c r="G193">
        <v>73380164423</v>
      </c>
      <c r="H193" t="s">
        <v>2081</v>
      </c>
      <c r="I193" s="5">
        <v>39</v>
      </c>
      <c r="J193" t="s">
        <v>1096</v>
      </c>
      <c r="K193" s="18">
        <v>42166</v>
      </c>
      <c r="L193" t="s">
        <v>2082</v>
      </c>
      <c r="M193" t="s">
        <v>2083</v>
      </c>
      <c r="N193">
        <v>36209980215</v>
      </c>
      <c r="O193" t="s">
        <v>2084</v>
      </c>
      <c r="P193" t="s">
        <v>2082</v>
      </c>
      <c r="Q193" t="s">
        <v>2084</v>
      </c>
      <c r="R193" s="34"/>
      <c r="V193">
        <v>39</v>
      </c>
      <c r="W193">
        <v>39</v>
      </c>
      <c r="X193" s="5">
        <v>78</v>
      </c>
      <c r="Y193" s="5">
        <v>97.5</v>
      </c>
      <c r="Z193" s="33">
        <v>25</v>
      </c>
      <c r="AA193" s="5">
        <v>122.5</v>
      </c>
      <c r="AB193" s="9">
        <v>161.5</v>
      </c>
      <c r="AE193" t="s">
        <v>707</v>
      </c>
      <c r="AI193" t="s">
        <v>707</v>
      </c>
      <c r="AJ193" t="s">
        <v>707</v>
      </c>
      <c r="AK193" t="s">
        <v>707</v>
      </c>
      <c r="AO193" t="s">
        <v>3086</v>
      </c>
      <c r="AQ193" s="24">
        <v>46084.52375</v>
      </c>
    </row>
    <row r="194" spans="2:43" x14ac:dyDescent="0.25">
      <c r="B194">
        <v>162</v>
      </c>
      <c r="C194">
        <v>3</v>
      </c>
      <c r="D194" s="21">
        <v>46087.510416666664</v>
      </c>
      <c r="E194">
        <v>113</v>
      </c>
      <c r="F194" t="s">
        <v>707</v>
      </c>
      <c r="G194">
        <v>73377394940</v>
      </c>
      <c r="H194" t="s">
        <v>2085</v>
      </c>
      <c r="I194" s="5">
        <v>45</v>
      </c>
      <c r="J194" t="s">
        <v>1096</v>
      </c>
      <c r="K194" s="18">
        <v>42014</v>
      </c>
      <c r="L194" t="s">
        <v>2086</v>
      </c>
      <c r="M194" t="s">
        <v>2087</v>
      </c>
      <c r="N194">
        <v>36304404973</v>
      </c>
      <c r="O194" t="s">
        <v>2088</v>
      </c>
      <c r="P194" t="s">
        <v>2086</v>
      </c>
      <c r="Q194" t="s">
        <v>2088</v>
      </c>
      <c r="R194" s="34"/>
      <c r="V194">
        <v>43</v>
      </c>
      <c r="W194">
        <v>25</v>
      </c>
      <c r="X194" s="5">
        <v>68</v>
      </c>
      <c r="Y194" s="5">
        <v>85</v>
      </c>
      <c r="Z194" s="33">
        <v>25</v>
      </c>
      <c r="AA194" s="5">
        <v>110</v>
      </c>
      <c r="AB194" s="9">
        <v>155</v>
      </c>
      <c r="AI194" t="s">
        <v>707</v>
      </c>
      <c r="AJ194" t="s">
        <v>707</v>
      </c>
      <c r="AL194" t="s">
        <v>707</v>
      </c>
      <c r="AO194" t="s">
        <v>3087</v>
      </c>
      <c r="AQ194" s="24">
        <v>46084.523738425924</v>
      </c>
    </row>
    <row r="195" spans="2:43" x14ac:dyDescent="0.25">
      <c r="B195">
        <v>163</v>
      </c>
      <c r="C195">
        <v>3</v>
      </c>
      <c r="D195" s="21">
        <v>46087.510416666664</v>
      </c>
      <c r="E195" s="31">
        <v>1</v>
      </c>
      <c r="F195" t="s">
        <v>707</v>
      </c>
      <c r="G195">
        <v>73381903177</v>
      </c>
      <c r="H195" t="s">
        <v>2089</v>
      </c>
      <c r="I195" s="5">
        <v>47</v>
      </c>
      <c r="J195" t="s">
        <v>1102</v>
      </c>
      <c r="K195" s="18">
        <v>42185</v>
      </c>
      <c r="L195" t="s">
        <v>2090</v>
      </c>
      <c r="M195" t="s">
        <v>2091</v>
      </c>
      <c r="N195">
        <v>36209584862</v>
      </c>
      <c r="O195" t="s">
        <v>2092</v>
      </c>
      <c r="P195" t="s">
        <v>2093</v>
      </c>
      <c r="Q195" t="s">
        <v>2092</v>
      </c>
      <c r="R195" s="34" t="s">
        <v>1113</v>
      </c>
      <c r="S195" t="s">
        <v>350</v>
      </c>
      <c r="T195" t="s">
        <v>351</v>
      </c>
      <c r="U195" t="s">
        <v>352</v>
      </c>
      <c r="V195">
        <v>47</v>
      </c>
      <c r="W195">
        <v>46</v>
      </c>
      <c r="X195" s="5">
        <v>93</v>
      </c>
      <c r="Y195" s="5">
        <v>116.25</v>
      </c>
      <c r="Z195" s="33">
        <v>25</v>
      </c>
      <c r="AA195" s="5">
        <v>141.25</v>
      </c>
      <c r="AB195" s="9">
        <v>188.25</v>
      </c>
      <c r="AI195" t="s">
        <v>707</v>
      </c>
      <c r="AJ195" t="s">
        <v>707</v>
      </c>
      <c r="AK195" t="s">
        <v>707</v>
      </c>
      <c r="AL195" t="s">
        <v>707</v>
      </c>
      <c r="AO195" t="s">
        <v>3088</v>
      </c>
      <c r="AQ195" s="24">
        <v>46084.523738425924</v>
      </c>
    </row>
    <row r="196" spans="2:43" x14ac:dyDescent="0.25">
      <c r="B196">
        <v>164</v>
      </c>
      <c r="C196">
        <v>3</v>
      </c>
      <c r="D196" s="21">
        <v>46087.510416666664</v>
      </c>
      <c r="E196" s="31">
        <v>55</v>
      </c>
      <c r="F196" t="s">
        <v>707</v>
      </c>
      <c r="G196">
        <v>73455849297</v>
      </c>
      <c r="H196" t="s">
        <v>2094</v>
      </c>
      <c r="I196" s="5">
        <v>43</v>
      </c>
      <c r="J196" t="s">
        <v>1100</v>
      </c>
      <c r="K196" s="18">
        <v>42445</v>
      </c>
      <c r="L196" t="s">
        <v>2095</v>
      </c>
      <c r="M196" t="s">
        <v>2096</v>
      </c>
      <c r="N196">
        <v>36209158516</v>
      </c>
      <c r="O196" t="s">
        <v>2097</v>
      </c>
      <c r="P196" t="s">
        <v>2095</v>
      </c>
      <c r="Q196" t="s">
        <v>2097</v>
      </c>
      <c r="R196" s="34" t="s">
        <v>1116</v>
      </c>
      <c r="S196" t="s">
        <v>639</v>
      </c>
      <c r="T196" t="s">
        <v>640</v>
      </c>
      <c r="U196" t="s">
        <v>641</v>
      </c>
      <c r="V196">
        <v>43</v>
      </c>
      <c r="W196">
        <v>37</v>
      </c>
      <c r="X196" s="5">
        <v>80</v>
      </c>
      <c r="Y196" s="5">
        <v>100</v>
      </c>
      <c r="Z196" s="33">
        <v>25</v>
      </c>
      <c r="AA196" s="5">
        <v>125</v>
      </c>
      <c r="AB196" s="9">
        <v>168</v>
      </c>
      <c r="AI196" t="s">
        <v>707</v>
      </c>
      <c r="AJ196" t="s">
        <v>707</v>
      </c>
      <c r="AO196" t="s">
        <v>3089</v>
      </c>
      <c r="AQ196" s="24">
        <v>46084.523738425924</v>
      </c>
    </row>
    <row r="197" spans="2:43" x14ac:dyDescent="0.25">
      <c r="B197">
        <v>165</v>
      </c>
      <c r="C197">
        <v>4</v>
      </c>
      <c r="D197" s="21">
        <v>46087.510416666664</v>
      </c>
      <c r="E197">
        <v>123</v>
      </c>
      <c r="F197" t="s">
        <v>707</v>
      </c>
      <c r="G197">
        <v>73392263925</v>
      </c>
      <c r="H197" t="s">
        <v>2098</v>
      </c>
      <c r="I197" s="5">
        <v>45</v>
      </c>
      <c r="J197" t="s">
        <v>1096</v>
      </c>
      <c r="K197" s="18">
        <v>42310</v>
      </c>
      <c r="L197" t="s">
        <v>2099</v>
      </c>
      <c r="M197" t="s">
        <v>2100</v>
      </c>
      <c r="N197">
        <v>36202139580</v>
      </c>
      <c r="O197" t="s">
        <v>2101</v>
      </c>
      <c r="P197" t="s">
        <v>2099</v>
      </c>
      <c r="Q197" t="s">
        <v>2102</v>
      </c>
      <c r="R197" s="34" t="s">
        <v>2386</v>
      </c>
      <c r="S197" t="s">
        <v>145</v>
      </c>
      <c r="T197" t="s">
        <v>146</v>
      </c>
      <c r="U197" t="s">
        <v>147</v>
      </c>
      <c r="V197">
        <v>34</v>
      </c>
      <c r="W197">
        <v>33</v>
      </c>
      <c r="X197" s="5">
        <v>67</v>
      </c>
      <c r="Y197" s="5">
        <v>83.75</v>
      </c>
      <c r="Z197" s="33">
        <v>25</v>
      </c>
      <c r="AA197" s="5">
        <v>108.75</v>
      </c>
      <c r="AB197" s="9">
        <v>153.75</v>
      </c>
      <c r="AI197" t="s">
        <v>707</v>
      </c>
      <c r="AJ197" t="s">
        <v>707</v>
      </c>
      <c r="AK197" t="s">
        <v>707</v>
      </c>
      <c r="AL197" t="s">
        <v>707</v>
      </c>
      <c r="AO197" t="s">
        <v>3090</v>
      </c>
      <c r="AQ197" s="24">
        <v>46084.523773148147</v>
      </c>
    </row>
    <row r="198" spans="2:43" x14ac:dyDescent="0.25">
      <c r="B198">
        <v>166</v>
      </c>
      <c r="C198">
        <v>4</v>
      </c>
      <c r="D198" s="21">
        <v>46087.510416666664</v>
      </c>
      <c r="E198">
        <v>119</v>
      </c>
      <c r="F198" t="s">
        <v>707</v>
      </c>
      <c r="G198">
        <v>73441453376</v>
      </c>
      <c r="H198" t="s">
        <v>2103</v>
      </c>
      <c r="I198" s="5">
        <v>48</v>
      </c>
      <c r="J198" t="s">
        <v>1097</v>
      </c>
      <c r="K198" s="18">
        <v>42368</v>
      </c>
      <c r="L198" t="s">
        <v>2104</v>
      </c>
      <c r="M198" t="s">
        <v>2105</v>
      </c>
      <c r="N198">
        <v>36306271447</v>
      </c>
      <c r="O198" t="s">
        <v>2106</v>
      </c>
      <c r="P198" t="s">
        <v>2107</v>
      </c>
      <c r="Q198" t="s">
        <v>2106</v>
      </c>
      <c r="R198" s="34"/>
      <c r="V198">
        <v>41</v>
      </c>
      <c r="W198">
        <v>24</v>
      </c>
      <c r="X198" s="5">
        <v>65</v>
      </c>
      <c r="Y198" s="5">
        <v>81.25</v>
      </c>
      <c r="Z198" s="33">
        <v>25</v>
      </c>
      <c r="AA198" s="5">
        <v>106.25</v>
      </c>
      <c r="AB198" s="9">
        <v>154.25</v>
      </c>
      <c r="AI198" t="s">
        <v>707</v>
      </c>
      <c r="AJ198" t="s">
        <v>707</v>
      </c>
      <c r="AK198" t="s">
        <v>707</v>
      </c>
      <c r="AL198" t="s">
        <v>707</v>
      </c>
      <c r="AO198" t="s">
        <v>3091</v>
      </c>
      <c r="AQ198" s="24">
        <v>46084.523773148147</v>
      </c>
    </row>
    <row r="199" spans="2:43" x14ac:dyDescent="0.25">
      <c r="B199">
        <v>167</v>
      </c>
      <c r="C199">
        <v>4</v>
      </c>
      <c r="D199" s="21">
        <v>46087.510416666664</v>
      </c>
      <c r="E199">
        <v>207</v>
      </c>
      <c r="F199" t="s">
        <v>707</v>
      </c>
      <c r="G199">
        <v>73388860536</v>
      </c>
      <c r="H199" t="s">
        <v>2108</v>
      </c>
      <c r="I199" s="5">
        <v>18</v>
      </c>
      <c r="J199" t="s">
        <v>1098</v>
      </c>
      <c r="K199" s="18">
        <v>42261</v>
      </c>
      <c r="L199" t="s">
        <v>2109</v>
      </c>
      <c r="M199" t="s">
        <v>2110</v>
      </c>
      <c r="N199">
        <v>36305040303</v>
      </c>
      <c r="O199" t="s">
        <v>2111</v>
      </c>
      <c r="P199" t="s">
        <v>2108</v>
      </c>
      <c r="Q199" t="s">
        <v>2111</v>
      </c>
      <c r="R199" s="34"/>
      <c r="V199">
        <v>39</v>
      </c>
      <c r="W199">
        <v>33</v>
      </c>
      <c r="X199" s="5">
        <v>72</v>
      </c>
      <c r="Y199" s="5">
        <v>90</v>
      </c>
      <c r="Z199" s="33">
        <v>25</v>
      </c>
      <c r="AA199" s="5">
        <v>115</v>
      </c>
      <c r="AB199" s="9">
        <v>133</v>
      </c>
      <c r="AI199" t="s">
        <v>707</v>
      </c>
      <c r="AJ199" t="s">
        <v>707</v>
      </c>
      <c r="AK199" t="s">
        <v>707</v>
      </c>
      <c r="AL199" t="s">
        <v>707</v>
      </c>
      <c r="AO199" t="s">
        <v>3092</v>
      </c>
      <c r="AQ199" s="24">
        <v>46084.523773148147</v>
      </c>
    </row>
    <row r="200" spans="2:43" x14ac:dyDescent="0.25">
      <c r="B200">
        <v>168</v>
      </c>
      <c r="C200">
        <v>7</v>
      </c>
      <c r="D200" s="21">
        <v>46087.510416666664</v>
      </c>
      <c r="E200">
        <v>160</v>
      </c>
      <c r="F200" t="s">
        <v>707</v>
      </c>
      <c r="G200">
        <v>73446881992</v>
      </c>
      <c r="H200" t="s">
        <v>2112</v>
      </c>
      <c r="I200" s="5">
        <v>49</v>
      </c>
      <c r="J200" t="s">
        <v>1096</v>
      </c>
      <c r="K200" s="18">
        <v>42592</v>
      </c>
      <c r="L200" t="s">
        <v>2113</v>
      </c>
      <c r="M200" t="s">
        <v>2114</v>
      </c>
      <c r="N200">
        <v>36702962382</v>
      </c>
      <c r="O200" t="s">
        <v>2115</v>
      </c>
      <c r="P200" t="s">
        <v>2116</v>
      </c>
      <c r="Q200" t="s">
        <v>2115</v>
      </c>
      <c r="R200" s="34"/>
      <c r="V200">
        <v>30</v>
      </c>
      <c r="W200">
        <v>29</v>
      </c>
      <c r="X200" s="5">
        <v>59</v>
      </c>
      <c r="Y200" s="5">
        <v>73.75</v>
      </c>
      <c r="Z200" s="33">
        <v>23.18</v>
      </c>
      <c r="AA200" s="5">
        <v>96.93</v>
      </c>
      <c r="AB200" s="9">
        <v>145.93</v>
      </c>
      <c r="AF200" t="s">
        <v>707</v>
      </c>
      <c r="AI200" t="s">
        <v>707</v>
      </c>
      <c r="AJ200" t="s">
        <v>707</v>
      </c>
      <c r="AK200" t="s">
        <v>707</v>
      </c>
      <c r="AL200" t="s">
        <v>707</v>
      </c>
      <c r="AO200" t="s">
        <v>3093</v>
      </c>
      <c r="AQ200" s="24">
        <v>46084.523784722223</v>
      </c>
    </row>
    <row r="201" spans="2:43" x14ac:dyDescent="0.25">
      <c r="B201">
        <v>169</v>
      </c>
      <c r="C201">
        <v>4</v>
      </c>
      <c r="D201" s="21">
        <v>46087.510416666664</v>
      </c>
      <c r="E201">
        <v>133</v>
      </c>
      <c r="F201" t="s">
        <v>707</v>
      </c>
      <c r="G201">
        <v>73401195268</v>
      </c>
      <c r="H201" t="s">
        <v>2117</v>
      </c>
      <c r="I201" s="5">
        <v>49</v>
      </c>
      <c r="J201" t="s">
        <v>1101</v>
      </c>
      <c r="K201" s="18">
        <v>42258</v>
      </c>
      <c r="L201" t="s">
        <v>2118</v>
      </c>
      <c r="M201" t="s">
        <v>2119</v>
      </c>
      <c r="N201">
        <v>36304979421</v>
      </c>
      <c r="O201" t="s">
        <v>2120</v>
      </c>
      <c r="P201" t="s">
        <v>2121</v>
      </c>
      <c r="Q201" t="s">
        <v>2120</v>
      </c>
      <c r="R201" s="34" t="s">
        <v>2377</v>
      </c>
      <c r="S201" t="s">
        <v>621</v>
      </c>
      <c r="T201" t="s">
        <v>622</v>
      </c>
      <c r="U201" t="s">
        <v>623</v>
      </c>
      <c r="V201">
        <v>33</v>
      </c>
      <c r="W201">
        <v>29</v>
      </c>
      <c r="X201" s="5">
        <v>62</v>
      </c>
      <c r="Y201" s="5">
        <v>77.5</v>
      </c>
      <c r="Z201" s="33">
        <v>25</v>
      </c>
      <c r="AA201" s="5">
        <v>102.5</v>
      </c>
      <c r="AB201" s="9">
        <v>151.5</v>
      </c>
      <c r="AD201" t="s">
        <v>707</v>
      </c>
      <c r="AI201" t="s">
        <v>707</v>
      </c>
      <c r="AJ201" t="s">
        <v>707</v>
      </c>
      <c r="AK201" t="s">
        <v>707</v>
      </c>
      <c r="AO201" t="s">
        <v>3094</v>
      </c>
      <c r="AQ201" s="24">
        <v>46084.523773148147</v>
      </c>
    </row>
    <row r="202" spans="2:43" x14ac:dyDescent="0.25">
      <c r="B202">
        <v>195</v>
      </c>
      <c r="C202">
        <v>2</v>
      </c>
      <c r="D202" s="21">
        <v>46098.604166666664</v>
      </c>
      <c r="E202">
        <v>161</v>
      </c>
      <c r="F202" t="s">
        <v>707</v>
      </c>
      <c r="G202">
        <v>73467305298</v>
      </c>
      <c r="H202" t="s">
        <v>2122</v>
      </c>
      <c r="I202" s="5">
        <v>42</v>
      </c>
      <c r="J202" t="s">
        <v>1101</v>
      </c>
      <c r="K202" s="18">
        <v>42486</v>
      </c>
      <c r="L202" t="s">
        <v>2123</v>
      </c>
      <c r="M202" t="s">
        <v>2435</v>
      </c>
      <c r="N202">
        <v>36203392389</v>
      </c>
      <c r="O202" t="s">
        <v>2124</v>
      </c>
      <c r="P202" t="s">
        <v>2123</v>
      </c>
      <c r="Q202" t="s">
        <v>2124</v>
      </c>
      <c r="R202" s="34"/>
      <c r="V202">
        <v>32</v>
      </c>
      <c r="W202">
        <v>31</v>
      </c>
      <c r="X202" s="5">
        <v>63</v>
      </c>
      <c r="Y202" s="5">
        <v>78.75</v>
      </c>
      <c r="Z202" s="33">
        <v>25</v>
      </c>
      <c r="AA202" s="5">
        <v>103.75</v>
      </c>
      <c r="AB202" s="9">
        <v>145.75</v>
      </c>
      <c r="AI202" t="s">
        <v>707</v>
      </c>
      <c r="AO202" t="s">
        <v>3095</v>
      </c>
      <c r="AQ202" s="24">
        <v>46084.523425925923</v>
      </c>
    </row>
    <row r="203" spans="2:43" x14ac:dyDescent="0.25">
      <c r="B203">
        <v>170</v>
      </c>
      <c r="C203">
        <v>5</v>
      </c>
      <c r="D203" s="21">
        <v>46087.510416666664</v>
      </c>
      <c r="E203" s="31">
        <v>61</v>
      </c>
      <c r="F203" t="s">
        <v>707</v>
      </c>
      <c r="G203">
        <v>73450879533</v>
      </c>
      <c r="H203" t="s">
        <v>2125</v>
      </c>
      <c r="I203" s="5">
        <v>48</v>
      </c>
      <c r="J203" t="s">
        <v>1098</v>
      </c>
      <c r="K203" s="18">
        <v>42296</v>
      </c>
      <c r="L203" t="s">
        <v>2126</v>
      </c>
      <c r="M203" t="s">
        <v>2127</v>
      </c>
      <c r="N203">
        <v>36309938742</v>
      </c>
      <c r="O203" t="s">
        <v>2128</v>
      </c>
      <c r="P203" t="s">
        <v>2129</v>
      </c>
      <c r="Q203" t="s">
        <v>2130</v>
      </c>
      <c r="R203" s="34" t="s">
        <v>1119</v>
      </c>
      <c r="S203" t="s">
        <v>204</v>
      </c>
      <c r="T203" t="s">
        <v>205</v>
      </c>
      <c r="U203" t="s">
        <v>206</v>
      </c>
      <c r="V203">
        <v>39</v>
      </c>
      <c r="W203">
        <v>36</v>
      </c>
      <c r="X203" s="5">
        <v>75</v>
      </c>
      <c r="Y203" s="5">
        <v>93.75</v>
      </c>
      <c r="Z203" s="33">
        <v>25</v>
      </c>
      <c r="AA203" s="5">
        <v>118.75</v>
      </c>
      <c r="AB203" s="9">
        <v>166.75</v>
      </c>
      <c r="AI203" t="s">
        <v>707</v>
      </c>
      <c r="AJ203" t="s">
        <v>707</v>
      </c>
      <c r="AK203" t="s">
        <v>707</v>
      </c>
      <c r="AO203" t="s">
        <v>3096</v>
      </c>
      <c r="AQ203" s="24">
        <v>46084.52380787037</v>
      </c>
    </row>
    <row r="204" spans="2:43" x14ac:dyDescent="0.25">
      <c r="B204">
        <v>171</v>
      </c>
      <c r="C204">
        <v>5</v>
      </c>
      <c r="D204" s="21">
        <v>46087.510416666664</v>
      </c>
      <c r="E204">
        <v>98</v>
      </c>
      <c r="F204" t="s">
        <v>707</v>
      </c>
      <c r="G204">
        <v>73386282676</v>
      </c>
      <c r="H204" t="s">
        <v>2131</v>
      </c>
      <c r="I204" s="5">
        <v>47</v>
      </c>
      <c r="J204" t="s">
        <v>1097</v>
      </c>
      <c r="K204" s="18">
        <v>42134</v>
      </c>
      <c r="L204" t="s">
        <v>2132</v>
      </c>
      <c r="M204" t="s">
        <v>2133</v>
      </c>
      <c r="N204">
        <v>36305437812</v>
      </c>
      <c r="O204" t="s">
        <v>2134</v>
      </c>
      <c r="P204" t="s">
        <v>2135</v>
      </c>
      <c r="Q204" t="s">
        <v>2134</v>
      </c>
      <c r="R204" s="34" t="s">
        <v>2410</v>
      </c>
      <c r="S204" t="s">
        <v>401</v>
      </c>
      <c r="T204" t="s">
        <v>402</v>
      </c>
      <c r="U204" t="s">
        <v>147</v>
      </c>
      <c r="V204">
        <v>39</v>
      </c>
      <c r="W204">
        <v>31</v>
      </c>
      <c r="X204" s="5">
        <v>70</v>
      </c>
      <c r="Y204" s="5">
        <v>87.5</v>
      </c>
      <c r="Z204" s="33">
        <v>23.75</v>
      </c>
      <c r="AA204" s="5">
        <v>111.25</v>
      </c>
      <c r="AB204" s="9">
        <v>158.25</v>
      </c>
      <c r="AK204" t="s">
        <v>707</v>
      </c>
      <c r="AO204" t="s">
        <v>3097</v>
      </c>
      <c r="AQ204" s="24">
        <v>46084.52380787037</v>
      </c>
    </row>
    <row r="205" spans="2:43" x14ac:dyDescent="0.25">
      <c r="B205">
        <v>172</v>
      </c>
      <c r="C205">
        <v>5</v>
      </c>
      <c r="D205" s="21">
        <v>46087.510416666664</v>
      </c>
      <c r="E205">
        <v>94</v>
      </c>
      <c r="F205" t="s">
        <v>707</v>
      </c>
      <c r="G205">
        <v>73383115638</v>
      </c>
      <c r="H205" t="s">
        <v>2136</v>
      </c>
      <c r="I205" s="5">
        <v>47</v>
      </c>
      <c r="J205" t="s">
        <v>1097</v>
      </c>
      <c r="K205" s="18">
        <v>42171</v>
      </c>
      <c r="L205" t="s">
        <v>2137</v>
      </c>
      <c r="M205" t="s">
        <v>2138</v>
      </c>
      <c r="N205">
        <v>36209812506</v>
      </c>
      <c r="O205" t="s">
        <v>2139</v>
      </c>
      <c r="P205" t="s">
        <v>2140</v>
      </c>
      <c r="Q205" t="s">
        <v>2139</v>
      </c>
      <c r="R205" s="34"/>
      <c r="V205">
        <v>40</v>
      </c>
      <c r="W205">
        <v>30</v>
      </c>
      <c r="X205" s="5">
        <v>70</v>
      </c>
      <c r="Y205" s="5">
        <v>87.5</v>
      </c>
      <c r="Z205" s="33">
        <v>24.55</v>
      </c>
      <c r="AA205" s="5">
        <v>112.05</v>
      </c>
      <c r="AB205" s="9">
        <v>159.05000000000001</v>
      </c>
      <c r="AI205" t="s">
        <v>707</v>
      </c>
      <c r="AJ205" t="s">
        <v>707</v>
      </c>
      <c r="AK205" t="s">
        <v>707</v>
      </c>
      <c r="AL205" t="s">
        <v>707</v>
      </c>
      <c r="AO205" t="s">
        <v>3098</v>
      </c>
      <c r="AQ205" s="24">
        <v>46084.52380787037</v>
      </c>
    </row>
    <row r="206" spans="2:43" x14ac:dyDescent="0.25">
      <c r="B206">
        <v>173</v>
      </c>
      <c r="C206">
        <v>5</v>
      </c>
      <c r="D206" s="21">
        <v>46087.510416666664</v>
      </c>
      <c r="E206" s="31">
        <v>26</v>
      </c>
      <c r="F206" t="s">
        <v>707</v>
      </c>
      <c r="G206">
        <v>73428458368</v>
      </c>
      <c r="H206" t="s">
        <v>2141</v>
      </c>
      <c r="I206" s="5">
        <v>49</v>
      </c>
      <c r="J206" t="s">
        <v>1105</v>
      </c>
      <c r="K206" s="18">
        <v>42542</v>
      </c>
      <c r="L206" t="s">
        <v>2142</v>
      </c>
      <c r="M206" t="s">
        <v>2143</v>
      </c>
      <c r="N206">
        <v>36209337058</v>
      </c>
      <c r="O206" t="s">
        <v>2144</v>
      </c>
      <c r="P206" t="s">
        <v>2145</v>
      </c>
      <c r="Q206" t="s">
        <v>2144</v>
      </c>
      <c r="R206" s="34" t="s">
        <v>2385</v>
      </c>
      <c r="S206" t="s">
        <v>125</v>
      </c>
      <c r="T206" t="s">
        <v>126</v>
      </c>
      <c r="U206" t="s">
        <v>127</v>
      </c>
      <c r="V206">
        <v>45</v>
      </c>
      <c r="W206">
        <v>35</v>
      </c>
      <c r="X206" s="5">
        <v>80</v>
      </c>
      <c r="Y206" s="5">
        <v>100</v>
      </c>
      <c r="Z206" s="33">
        <v>25</v>
      </c>
      <c r="AA206" s="5">
        <v>125</v>
      </c>
      <c r="AB206" s="9">
        <v>174</v>
      </c>
      <c r="AI206" t="s">
        <v>707</v>
      </c>
      <c r="AJ206" t="s">
        <v>707</v>
      </c>
      <c r="AK206" t="s">
        <v>707</v>
      </c>
      <c r="AL206" t="s">
        <v>707</v>
      </c>
      <c r="AO206" t="s">
        <v>3099</v>
      </c>
      <c r="AQ206" s="24">
        <v>46084.52380787037</v>
      </c>
    </row>
    <row r="207" spans="2:43" x14ac:dyDescent="0.25">
      <c r="E207" s="19">
        <v>249</v>
      </c>
      <c r="G207">
        <v>73573016954</v>
      </c>
      <c r="H207" t="s">
        <v>2146</v>
      </c>
      <c r="I207" s="5">
        <v>0</v>
      </c>
      <c r="J207" t="s">
        <v>1096</v>
      </c>
      <c r="K207" s="18">
        <v>42509</v>
      </c>
      <c r="L207" t="s">
        <v>2147</v>
      </c>
      <c r="M207" t="s">
        <v>2148</v>
      </c>
      <c r="N207">
        <v>36209729900</v>
      </c>
      <c r="O207" t="s">
        <v>2149</v>
      </c>
      <c r="P207" t="s">
        <v>2150</v>
      </c>
      <c r="Q207" t="s">
        <v>2149</v>
      </c>
      <c r="R207" s="34" t="s">
        <v>2870</v>
      </c>
      <c r="S207" t="s">
        <v>2151</v>
      </c>
      <c r="T207" t="s">
        <v>2871</v>
      </c>
      <c r="U207" t="s">
        <v>2873</v>
      </c>
      <c r="V207">
        <v>21</v>
      </c>
      <c r="W207">
        <v>16</v>
      </c>
      <c r="X207" s="5">
        <v>37</v>
      </c>
      <c r="Y207" s="5">
        <v>46.25</v>
      </c>
      <c r="Z207" s="33">
        <v>24.58</v>
      </c>
      <c r="AA207" s="5">
        <v>70.83</v>
      </c>
      <c r="AB207" s="9">
        <v>70.83</v>
      </c>
      <c r="AI207" t="s">
        <v>707</v>
      </c>
      <c r="AK207" t="s">
        <v>707</v>
      </c>
      <c r="AO207" t="s">
        <v>3100</v>
      </c>
    </row>
    <row r="208" spans="2:43" x14ac:dyDescent="0.25">
      <c r="B208">
        <v>174</v>
      </c>
      <c r="C208">
        <v>6</v>
      </c>
      <c r="D208" s="21">
        <v>46087.510416666664</v>
      </c>
      <c r="E208">
        <v>144</v>
      </c>
      <c r="F208" t="s">
        <v>707</v>
      </c>
      <c r="G208">
        <v>73383922770</v>
      </c>
      <c r="H208" t="s">
        <v>2152</v>
      </c>
      <c r="I208" s="5">
        <v>32</v>
      </c>
      <c r="J208" t="s">
        <v>1101</v>
      </c>
      <c r="K208" s="18">
        <v>42054</v>
      </c>
      <c r="L208" t="s">
        <v>2153</v>
      </c>
      <c r="M208" t="s">
        <v>2154</v>
      </c>
      <c r="N208">
        <v>36706707071</v>
      </c>
      <c r="O208" t="s">
        <v>2155</v>
      </c>
      <c r="P208" t="s">
        <v>2153</v>
      </c>
      <c r="Q208" t="s">
        <v>2155</v>
      </c>
      <c r="R208" s="34"/>
      <c r="V208">
        <v>39</v>
      </c>
      <c r="W208">
        <v>35</v>
      </c>
      <c r="X208" s="5">
        <v>74</v>
      </c>
      <c r="Y208" s="5">
        <v>92.5</v>
      </c>
      <c r="Z208" s="33">
        <v>25</v>
      </c>
      <c r="AA208" s="5">
        <v>117.5</v>
      </c>
      <c r="AB208" s="9">
        <v>149.5</v>
      </c>
      <c r="AI208" t="s">
        <v>707</v>
      </c>
      <c r="AJ208" t="s">
        <v>707</v>
      </c>
      <c r="AK208" t="s">
        <v>707</v>
      </c>
      <c r="AL208" t="s">
        <v>707</v>
      </c>
      <c r="AO208" t="s">
        <v>3101</v>
      </c>
      <c r="AQ208" s="24">
        <v>46084.523819444446</v>
      </c>
    </row>
    <row r="209" spans="2:43" x14ac:dyDescent="0.25">
      <c r="B209">
        <v>175</v>
      </c>
      <c r="C209">
        <v>6</v>
      </c>
      <c r="D209" s="21">
        <v>46087.510416666664</v>
      </c>
      <c r="E209" s="31">
        <v>89</v>
      </c>
      <c r="F209" t="s">
        <v>707</v>
      </c>
      <c r="G209">
        <v>73397094404</v>
      </c>
      <c r="H209" t="s">
        <v>2156</v>
      </c>
      <c r="I209" s="5">
        <v>48</v>
      </c>
      <c r="J209" t="s">
        <v>1096</v>
      </c>
      <c r="K209" s="18">
        <v>42258</v>
      </c>
      <c r="L209" t="s">
        <v>2157</v>
      </c>
      <c r="M209" t="s">
        <v>2158</v>
      </c>
      <c r="N209">
        <v>36202436755</v>
      </c>
      <c r="O209" t="s">
        <v>2159</v>
      </c>
      <c r="P209" t="s">
        <v>2157</v>
      </c>
      <c r="Q209" t="s">
        <v>2160</v>
      </c>
      <c r="R209" s="34" t="s">
        <v>2855</v>
      </c>
      <c r="S209" t="s">
        <v>1615</v>
      </c>
      <c r="T209" t="s">
        <v>549</v>
      </c>
      <c r="U209" t="s">
        <v>2852</v>
      </c>
      <c r="V209">
        <v>36</v>
      </c>
      <c r="W209">
        <v>34</v>
      </c>
      <c r="X209" s="5">
        <v>70</v>
      </c>
      <c r="Y209" s="5">
        <v>87.5</v>
      </c>
      <c r="Z209" s="33">
        <v>25</v>
      </c>
      <c r="AA209" s="5">
        <v>112.5</v>
      </c>
      <c r="AB209" s="9">
        <v>160.5</v>
      </c>
      <c r="AI209" t="s">
        <v>707</v>
      </c>
      <c r="AJ209" t="s">
        <v>707</v>
      </c>
      <c r="AK209" t="s">
        <v>707</v>
      </c>
      <c r="AL209" t="s">
        <v>707</v>
      </c>
      <c r="AM209" t="s">
        <v>2161</v>
      </c>
      <c r="AO209" t="s">
        <v>3102</v>
      </c>
      <c r="AQ209" s="24">
        <v>46084.523819444446</v>
      </c>
    </row>
    <row r="210" spans="2:43" x14ac:dyDescent="0.25">
      <c r="B210">
        <v>176</v>
      </c>
      <c r="C210">
        <v>6</v>
      </c>
      <c r="D210" s="21">
        <v>46087.510416666664</v>
      </c>
      <c r="E210" s="31">
        <v>12</v>
      </c>
      <c r="F210" t="s">
        <v>707</v>
      </c>
      <c r="G210">
        <v>73398200860</v>
      </c>
      <c r="H210" t="s">
        <v>2162</v>
      </c>
      <c r="I210" s="5">
        <v>45</v>
      </c>
      <c r="J210" t="s">
        <v>1098</v>
      </c>
      <c r="K210" s="18">
        <v>42370</v>
      </c>
      <c r="L210" t="s">
        <v>2163</v>
      </c>
      <c r="M210" t="s">
        <v>2164</v>
      </c>
      <c r="N210">
        <v>36703656137</v>
      </c>
      <c r="O210" t="s">
        <v>2165</v>
      </c>
      <c r="P210" t="s">
        <v>2163</v>
      </c>
      <c r="Q210" t="s">
        <v>2165</v>
      </c>
      <c r="R210" s="34" t="s">
        <v>2833</v>
      </c>
      <c r="S210" t="s">
        <v>1241</v>
      </c>
      <c r="T210" t="s">
        <v>2829</v>
      </c>
      <c r="U210" t="s">
        <v>2830</v>
      </c>
      <c r="V210">
        <v>45</v>
      </c>
      <c r="W210">
        <v>42</v>
      </c>
      <c r="X210" s="5">
        <v>87</v>
      </c>
      <c r="Y210" s="5">
        <v>108.75</v>
      </c>
      <c r="Z210" s="33">
        <v>25</v>
      </c>
      <c r="AA210" s="5">
        <v>133.75</v>
      </c>
      <c r="AB210" s="9">
        <v>178.75</v>
      </c>
      <c r="AI210" t="s">
        <v>707</v>
      </c>
      <c r="AJ210" t="s">
        <v>707</v>
      </c>
      <c r="AK210" t="s">
        <v>707</v>
      </c>
      <c r="AL210" t="s">
        <v>707</v>
      </c>
      <c r="AO210" t="s">
        <v>3103</v>
      </c>
      <c r="AQ210" s="24">
        <v>46084.523819444446</v>
      </c>
    </row>
    <row r="211" spans="2:43" x14ac:dyDescent="0.25">
      <c r="B211">
        <v>196</v>
      </c>
      <c r="C211">
        <v>1</v>
      </c>
      <c r="D211" s="21">
        <v>46091.604166666664</v>
      </c>
      <c r="E211" s="31">
        <v>46</v>
      </c>
      <c r="F211" t="s">
        <v>707</v>
      </c>
      <c r="G211">
        <v>73468132299</v>
      </c>
      <c r="H211" t="s">
        <v>2166</v>
      </c>
      <c r="I211" s="5">
        <v>36</v>
      </c>
      <c r="J211" t="s">
        <v>1104</v>
      </c>
      <c r="K211" s="18">
        <v>42439</v>
      </c>
      <c r="L211" t="s">
        <v>2167</v>
      </c>
      <c r="M211" t="s">
        <v>2168</v>
      </c>
      <c r="N211">
        <v>36303720315</v>
      </c>
      <c r="O211" t="s">
        <v>2169</v>
      </c>
      <c r="P211" t="s">
        <v>2170</v>
      </c>
      <c r="Q211" t="s">
        <v>2169</v>
      </c>
      <c r="R211" s="34" t="s">
        <v>2846</v>
      </c>
      <c r="S211" t="s">
        <v>1401</v>
      </c>
      <c r="T211" t="s">
        <v>2840</v>
      </c>
      <c r="U211" t="s">
        <v>2841</v>
      </c>
      <c r="V211">
        <v>40</v>
      </c>
      <c r="W211">
        <v>47</v>
      </c>
      <c r="X211" s="5">
        <v>87</v>
      </c>
      <c r="Y211" s="5">
        <v>108.75</v>
      </c>
      <c r="Z211" s="33">
        <v>25</v>
      </c>
      <c r="AA211" s="5">
        <v>133.75</v>
      </c>
      <c r="AB211" s="9">
        <v>169.75</v>
      </c>
      <c r="AI211" t="s">
        <v>707</v>
      </c>
      <c r="AJ211" t="s">
        <v>707</v>
      </c>
      <c r="AL211" t="s">
        <v>707</v>
      </c>
      <c r="AO211" t="s">
        <v>3104</v>
      </c>
      <c r="AQ211" s="24">
        <v>46084.523055555554</v>
      </c>
    </row>
    <row r="212" spans="2:43" x14ac:dyDescent="0.25">
      <c r="B212">
        <v>177</v>
      </c>
      <c r="C212">
        <v>6</v>
      </c>
      <c r="D212" s="21">
        <v>46087.510416666664</v>
      </c>
      <c r="E212" s="31">
        <v>24</v>
      </c>
      <c r="F212" t="s">
        <v>707</v>
      </c>
      <c r="G212">
        <v>73409504851</v>
      </c>
      <c r="H212" t="s">
        <v>2171</v>
      </c>
      <c r="I212" s="5">
        <v>46</v>
      </c>
      <c r="J212" t="s">
        <v>1103</v>
      </c>
      <c r="K212" s="18">
        <v>42267</v>
      </c>
      <c r="L212" t="s">
        <v>2172</v>
      </c>
      <c r="M212" t="s">
        <v>2173</v>
      </c>
      <c r="N212">
        <v>36303806952</v>
      </c>
      <c r="O212" t="s">
        <v>2174</v>
      </c>
      <c r="P212" t="s">
        <v>2172</v>
      </c>
      <c r="Q212" t="s">
        <v>2174</v>
      </c>
      <c r="R212" s="34" t="s">
        <v>1107</v>
      </c>
      <c r="S212" t="s">
        <v>610</v>
      </c>
      <c r="T212" t="s">
        <v>611</v>
      </c>
      <c r="U212" t="s">
        <v>612</v>
      </c>
      <c r="V212">
        <v>44</v>
      </c>
      <c r="W212">
        <v>39</v>
      </c>
      <c r="X212" s="5">
        <v>83</v>
      </c>
      <c r="Y212" s="5">
        <v>103.75</v>
      </c>
      <c r="Z212" s="33">
        <v>25</v>
      </c>
      <c r="AA212" s="5">
        <v>128.75</v>
      </c>
      <c r="AB212" s="9">
        <v>174.75</v>
      </c>
      <c r="AI212" t="s">
        <v>707</v>
      </c>
      <c r="AL212" t="s">
        <v>707</v>
      </c>
      <c r="AO212" t="s">
        <v>3105</v>
      </c>
      <c r="AQ212" s="24">
        <v>46084.523819444446</v>
      </c>
    </row>
    <row r="213" spans="2:43" x14ac:dyDescent="0.25">
      <c r="B213">
        <v>178</v>
      </c>
      <c r="C213">
        <v>7</v>
      </c>
      <c r="D213" s="21">
        <v>46087.510416666664</v>
      </c>
      <c r="E213">
        <v>164</v>
      </c>
      <c r="F213" t="s">
        <v>707</v>
      </c>
      <c r="G213">
        <v>73469581852</v>
      </c>
      <c r="H213" t="s">
        <v>2175</v>
      </c>
      <c r="I213" s="5">
        <v>23</v>
      </c>
      <c r="J213" t="s">
        <v>1104</v>
      </c>
      <c r="K213" s="18">
        <v>42265</v>
      </c>
      <c r="L213" t="s">
        <v>2176</v>
      </c>
      <c r="M213" s="3" t="s">
        <v>2421</v>
      </c>
      <c r="N213">
        <v>36203224910</v>
      </c>
      <c r="O213" t="s">
        <v>2177</v>
      </c>
      <c r="P213" t="s">
        <v>2176</v>
      </c>
      <c r="Q213" t="s">
        <v>2177</v>
      </c>
      <c r="R213" s="34"/>
      <c r="V213">
        <v>41</v>
      </c>
      <c r="W213">
        <v>37</v>
      </c>
      <c r="X213" s="5">
        <v>78</v>
      </c>
      <c r="Y213" s="5">
        <v>97.5</v>
      </c>
      <c r="Z213" s="33">
        <v>25</v>
      </c>
      <c r="AA213" s="5">
        <v>122.5</v>
      </c>
      <c r="AB213" s="9">
        <v>145.5</v>
      </c>
      <c r="AI213" t="s">
        <v>707</v>
      </c>
      <c r="AJ213" t="s">
        <v>707</v>
      </c>
      <c r="AK213" t="s">
        <v>707</v>
      </c>
      <c r="AL213" t="s">
        <v>707</v>
      </c>
      <c r="AO213" t="s">
        <v>3106</v>
      </c>
      <c r="AQ213" s="24">
        <v>46084.523784722223</v>
      </c>
    </row>
    <row r="214" spans="2:43" x14ac:dyDescent="0.25">
      <c r="B214">
        <v>179</v>
      </c>
      <c r="C214">
        <v>8</v>
      </c>
      <c r="D214" s="21">
        <v>46087.510416666664</v>
      </c>
      <c r="E214">
        <v>140</v>
      </c>
      <c r="F214" t="s">
        <v>707</v>
      </c>
      <c r="G214">
        <v>73434106790</v>
      </c>
      <c r="H214" t="s">
        <v>2178</v>
      </c>
      <c r="I214" s="5">
        <v>29</v>
      </c>
      <c r="J214" t="s">
        <v>1096</v>
      </c>
      <c r="K214" s="18">
        <v>42317</v>
      </c>
      <c r="L214" t="s">
        <v>2179</v>
      </c>
      <c r="M214" t="s">
        <v>2180</v>
      </c>
      <c r="N214">
        <v>36301976318</v>
      </c>
      <c r="O214" t="s">
        <v>2181</v>
      </c>
      <c r="P214" t="s">
        <v>2182</v>
      </c>
      <c r="Q214" t="s">
        <v>2181</v>
      </c>
      <c r="R214" s="34"/>
      <c r="V214">
        <v>41</v>
      </c>
      <c r="W214">
        <v>36</v>
      </c>
      <c r="X214" s="5">
        <v>77</v>
      </c>
      <c r="Y214" s="5">
        <v>96.25</v>
      </c>
      <c r="Z214" s="33">
        <v>25</v>
      </c>
      <c r="AA214" s="5">
        <v>121.25</v>
      </c>
      <c r="AB214" s="9">
        <v>150.25</v>
      </c>
      <c r="AI214" t="s">
        <v>707</v>
      </c>
      <c r="AJ214" t="s">
        <v>707</v>
      </c>
      <c r="AK214" t="s">
        <v>707</v>
      </c>
      <c r="AO214" t="s">
        <v>3107</v>
      </c>
      <c r="AQ214" s="24">
        <v>46084.523842592593</v>
      </c>
    </row>
    <row r="215" spans="2:43" x14ac:dyDescent="0.25">
      <c r="B215">
        <v>180</v>
      </c>
      <c r="C215">
        <v>7</v>
      </c>
      <c r="D215" s="21">
        <v>46087.510416666664</v>
      </c>
      <c r="E215" s="31">
        <v>31</v>
      </c>
      <c r="F215" t="s">
        <v>707</v>
      </c>
      <c r="G215">
        <v>73476816770</v>
      </c>
      <c r="H215" t="s">
        <v>2183</v>
      </c>
      <c r="I215" s="5">
        <v>32</v>
      </c>
      <c r="J215" t="s">
        <v>1098</v>
      </c>
      <c r="K215" s="18">
        <v>42568</v>
      </c>
      <c r="L215" t="s">
        <v>2184</v>
      </c>
      <c r="M215" t="s">
        <v>2185</v>
      </c>
      <c r="N215">
        <v>36209194765</v>
      </c>
      <c r="O215" t="s">
        <v>2186</v>
      </c>
      <c r="P215" t="s">
        <v>2184</v>
      </c>
      <c r="Q215" t="s">
        <v>2186</v>
      </c>
      <c r="R215" s="34" t="s">
        <v>2403</v>
      </c>
      <c r="S215" t="s">
        <v>379</v>
      </c>
      <c r="T215" t="s">
        <v>380</v>
      </c>
      <c r="U215" t="s">
        <v>381</v>
      </c>
      <c r="V215">
        <v>48</v>
      </c>
      <c r="W215">
        <v>45</v>
      </c>
      <c r="X215" s="5">
        <v>93</v>
      </c>
      <c r="Y215" s="5">
        <v>116.25</v>
      </c>
      <c r="Z215" s="33">
        <v>25</v>
      </c>
      <c r="AA215" s="5">
        <v>141.25</v>
      </c>
      <c r="AB215" s="9">
        <v>173.25</v>
      </c>
      <c r="AI215" t="s">
        <v>707</v>
      </c>
      <c r="AJ215" t="s">
        <v>707</v>
      </c>
      <c r="AK215" t="s">
        <v>707</v>
      </c>
      <c r="AL215" t="s">
        <v>707</v>
      </c>
      <c r="AO215" t="s">
        <v>3108</v>
      </c>
      <c r="AQ215" s="24">
        <v>46084.523784722223</v>
      </c>
    </row>
    <row r="216" spans="2:43" x14ac:dyDescent="0.25">
      <c r="B216">
        <v>181</v>
      </c>
      <c r="C216">
        <v>7</v>
      </c>
      <c r="D216" s="21">
        <v>46087.510416666664</v>
      </c>
      <c r="E216" s="31">
        <v>14</v>
      </c>
      <c r="F216" t="s">
        <v>707</v>
      </c>
      <c r="G216">
        <v>73405061333</v>
      </c>
      <c r="H216" t="s">
        <v>2187</v>
      </c>
      <c r="I216" s="5">
        <v>46</v>
      </c>
      <c r="J216" t="s">
        <v>1098</v>
      </c>
      <c r="K216" s="18">
        <v>42253</v>
      </c>
      <c r="L216" t="s">
        <v>2188</v>
      </c>
      <c r="M216" t="s">
        <v>2189</v>
      </c>
      <c r="N216">
        <v>36203480779</v>
      </c>
      <c r="O216" t="s">
        <v>2190</v>
      </c>
      <c r="P216" t="s">
        <v>2191</v>
      </c>
      <c r="Q216" t="s">
        <v>2190</v>
      </c>
      <c r="R216" s="34" t="s">
        <v>2833</v>
      </c>
      <c r="S216" t="s">
        <v>1241</v>
      </c>
      <c r="T216" t="s">
        <v>2829</v>
      </c>
      <c r="U216" t="s">
        <v>2830</v>
      </c>
      <c r="V216">
        <v>41</v>
      </c>
      <c r="W216">
        <v>44</v>
      </c>
      <c r="X216" s="5">
        <v>85</v>
      </c>
      <c r="Y216" s="5">
        <v>106.25</v>
      </c>
      <c r="Z216" s="33">
        <v>25</v>
      </c>
      <c r="AA216" s="5">
        <v>131.25</v>
      </c>
      <c r="AB216" s="9">
        <v>177.25</v>
      </c>
      <c r="AI216" t="s">
        <v>707</v>
      </c>
      <c r="AJ216" t="s">
        <v>707</v>
      </c>
      <c r="AK216" t="s">
        <v>707</v>
      </c>
      <c r="AL216" t="s">
        <v>707</v>
      </c>
      <c r="AO216" t="s">
        <v>3109</v>
      </c>
      <c r="AQ216" s="24">
        <v>46084.523784722223</v>
      </c>
    </row>
    <row r="217" spans="2:43" x14ac:dyDescent="0.25">
      <c r="B217">
        <v>182</v>
      </c>
      <c r="C217">
        <v>8</v>
      </c>
      <c r="D217" s="21">
        <v>46087.510416666664</v>
      </c>
      <c r="E217">
        <v>239</v>
      </c>
      <c r="F217" t="s">
        <v>707</v>
      </c>
      <c r="G217">
        <v>73386368117</v>
      </c>
      <c r="H217" t="s">
        <v>2192</v>
      </c>
      <c r="I217" s="5">
        <v>0</v>
      </c>
      <c r="J217" t="s">
        <v>1102</v>
      </c>
      <c r="K217" s="18">
        <v>42178</v>
      </c>
      <c r="L217" t="s">
        <v>2193</v>
      </c>
      <c r="M217" t="s">
        <v>2194</v>
      </c>
      <c r="N217">
        <v>36302312397</v>
      </c>
      <c r="O217" t="s">
        <v>2195</v>
      </c>
      <c r="P217" t="s">
        <v>2193</v>
      </c>
      <c r="Q217" t="s">
        <v>2196</v>
      </c>
      <c r="R217" s="34" t="s">
        <v>1124</v>
      </c>
      <c r="S217" t="s">
        <v>435</v>
      </c>
      <c r="T217" t="s">
        <v>436</v>
      </c>
      <c r="U217" t="s">
        <v>437</v>
      </c>
      <c r="V217">
        <v>27</v>
      </c>
      <c r="W217">
        <v>37</v>
      </c>
      <c r="X217" s="5">
        <v>64</v>
      </c>
      <c r="Y217" s="5">
        <v>80</v>
      </c>
      <c r="Z217" s="33">
        <v>25</v>
      </c>
      <c r="AA217" s="5">
        <v>105</v>
      </c>
      <c r="AB217" s="9">
        <v>105</v>
      </c>
      <c r="AI217" t="s">
        <v>707</v>
      </c>
      <c r="AJ217" t="s">
        <v>707</v>
      </c>
      <c r="AK217" t="s">
        <v>707</v>
      </c>
      <c r="AL217" t="s">
        <v>707</v>
      </c>
      <c r="AN217" t="s">
        <v>2895</v>
      </c>
      <c r="AO217" t="s">
        <v>3110</v>
      </c>
      <c r="AQ217" s="24">
        <v>46084.523842592593</v>
      </c>
    </row>
    <row r="218" spans="2:43" x14ac:dyDescent="0.25">
      <c r="B218">
        <v>183</v>
      </c>
      <c r="C218">
        <v>8</v>
      </c>
      <c r="D218" s="21">
        <v>46087.510416666664</v>
      </c>
      <c r="E218" s="31">
        <v>47</v>
      </c>
      <c r="F218" t="s">
        <v>707</v>
      </c>
      <c r="G218">
        <v>73389177137</v>
      </c>
      <c r="H218" t="s">
        <v>2197</v>
      </c>
      <c r="I218" s="5">
        <v>48</v>
      </c>
      <c r="J218" t="s">
        <v>1100</v>
      </c>
      <c r="K218" s="18">
        <v>42052</v>
      </c>
      <c r="L218" t="s">
        <v>2198</v>
      </c>
      <c r="M218" t="s">
        <v>2199</v>
      </c>
      <c r="N218">
        <v>36203331216</v>
      </c>
      <c r="O218" t="s">
        <v>2200</v>
      </c>
      <c r="P218" t="s">
        <v>2201</v>
      </c>
      <c r="Q218" t="s">
        <v>2200</v>
      </c>
      <c r="R218" s="34" t="s">
        <v>2831</v>
      </c>
      <c r="S218" t="s">
        <v>1167</v>
      </c>
      <c r="T218" t="s">
        <v>163</v>
      </c>
      <c r="U218" t="s">
        <v>164</v>
      </c>
      <c r="V218">
        <v>43</v>
      </c>
      <c r="W218">
        <v>34</v>
      </c>
      <c r="X218" s="5">
        <v>77</v>
      </c>
      <c r="Y218" s="5">
        <v>96.25</v>
      </c>
      <c r="Z218" s="33">
        <v>25</v>
      </c>
      <c r="AA218" s="5">
        <v>121.25</v>
      </c>
      <c r="AB218" s="9">
        <v>169.25</v>
      </c>
      <c r="AI218" t="s">
        <v>707</v>
      </c>
      <c r="AJ218" t="s">
        <v>707</v>
      </c>
      <c r="AK218" t="s">
        <v>707</v>
      </c>
      <c r="AL218" t="s">
        <v>707</v>
      </c>
      <c r="AO218" t="s">
        <v>3111</v>
      </c>
      <c r="AQ218" s="24">
        <v>46084.523842592593</v>
      </c>
    </row>
    <row r="219" spans="2:43" x14ac:dyDescent="0.25">
      <c r="B219">
        <v>184</v>
      </c>
      <c r="C219">
        <v>8</v>
      </c>
      <c r="D219" s="21">
        <v>46087.510416666664</v>
      </c>
      <c r="E219">
        <v>163</v>
      </c>
      <c r="F219" t="s">
        <v>707</v>
      </c>
      <c r="G219">
        <v>73433982479</v>
      </c>
      <c r="H219" t="s">
        <v>2202</v>
      </c>
      <c r="I219" s="5">
        <v>39</v>
      </c>
      <c r="J219" t="s">
        <v>1097</v>
      </c>
      <c r="K219" s="18">
        <v>42509</v>
      </c>
      <c r="L219" t="s">
        <v>2203</v>
      </c>
      <c r="M219" t="s">
        <v>2204</v>
      </c>
      <c r="N219">
        <v>36202242160</v>
      </c>
      <c r="O219" t="s">
        <v>2205</v>
      </c>
      <c r="P219" t="s">
        <v>2203</v>
      </c>
      <c r="Q219" t="s">
        <v>2205</v>
      </c>
      <c r="R219" s="34" t="s">
        <v>1117</v>
      </c>
      <c r="S219" t="s">
        <v>285</v>
      </c>
      <c r="T219" t="s">
        <v>286</v>
      </c>
      <c r="U219" t="s">
        <v>287</v>
      </c>
      <c r="V219">
        <v>38</v>
      </c>
      <c r="W219">
        <v>28</v>
      </c>
      <c r="X219" s="5">
        <v>66</v>
      </c>
      <c r="Y219" s="5">
        <v>82.5</v>
      </c>
      <c r="Z219" s="33">
        <v>24.09</v>
      </c>
      <c r="AA219" s="5">
        <v>106.59</v>
      </c>
      <c r="AB219" s="9">
        <v>145.59</v>
      </c>
      <c r="AD219" t="s">
        <v>707</v>
      </c>
      <c r="AI219" t="s">
        <v>707</v>
      </c>
      <c r="AJ219" t="s">
        <v>707</v>
      </c>
      <c r="AK219" t="s">
        <v>707</v>
      </c>
      <c r="AO219" t="s">
        <v>3112</v>
      </c>
      <c r="AQ219" s="24">
        <v>46084.523842592593</v>
      </c>
    </row>
    <row r="220" spans="2:43" x14ac:dyDescent="0.25">
      <c r="B220">
        <v>185</v>
      </c>
      <c r="C220">
        <v>9</v>
      </c>
      <c r="D220" s="21">
        <v>46087.510416666664</v>
      </c>
      <c r="E220">
        <v>111</v>
      </c>
      <c r="F220" t="s">
        <v>707</v>
      </c>
      <c r="G220">
        <v>73451007188</v>
      </c>
      <c r="H220" t="s">
        <v>2206</v>
      </c>
      <c r="I220" s="5">
        <v>38</v>
      </c>
      <c r="J220" t="s">
        <v>1097</v>
      </c>
      <c r="K220" s="18">
        <v>42422</v>
      </c>
      <c r="L220" t="s">
        <v>2207</v>
      </c>
      <c r="M220" t="s">
        <v>2208</v>
      </c>
      <c r="N220">
        <v>36705091760</v>
      </c>
      <c r="O220" t="s">
        <v>2209</v>
      </c>
      <c r="P220" t="s">
        <v>2210</v>
      </c>
      <c r="Q220" t="s">
        <v>2209</v>
      </c>
      <c r="R220" s="34" t="s">
        <v>2411</v>
      </c>
      <c r="S220" t="s">
        <v>655</v>
      </c>
      <c r="T220" t="s">
        <v>656</v>
      </c>
      <c r="U220" t="s">
        <v>657</v>
      </c>
      <c r="V220">
        <v>39</v>
      </c>
      <c r="W220">
        <v>35</v>
      </c>
      <c r="X220" s="5">
        <v>74</v>
      </c>
      <c r="Y220" s="5">
        <v>92.5</v>
      </c>
      <c r="Z220" s="33">
        <v>25</v>
      </c>
      <c r="AA220" s="5">
        <v>117.5</v>
      </c>
      <c r="AB220" s="9">
        <v>155.5</v>
      </c>
      <c r="AI220" t="s">
        <v>707</v>
      </c>
      <c r="AJ220" t="s">
        <v>707</v>
      </c>
      <c r="AK220" t="s">
        <v>707</v>
      </c>
      <c r="AL220" t="s">
        <v>707</v>
      </c>
      <c r="AO220" t="s">
        <v>3113</v>
      </c>
      <c r="AQ220" s="24">
        <v>46084.52375</v>
      </c>
    </row>
    <row r="221" spans="2:43" x14ac:dyDescent="0.25">
      <c r="B221">
        <v>186</v>
      </c>
      <c r="C221">
        <v>9</v>
      </c>
      <c r="D221" s="21">
        <v>46087.510416666664</v>
      </c>
      <c r="E221">
        <v>155</v>
      </c>
      <c r="F221" t="s">
        <v>707</v>
      </c>
      <c r="G221">
        <v>73423956297</v>
      </c>
      <c r="H221" t="s">
        <v>2211</v>
      </c>
      <c r="I221" s="5">
        <v>31</v>
      </c>
      <c r="J221" t="s">
        <v>1100</v>
      </c>
      <c r="K221" s="18">
        <v>42317</v>
      </c>
      <c r="L221" t="s">
        <v>2212</v>
      </c>
      <c r="M221" t="s">
        <v>2213</v>
      </c>
      <c r="N221">
        <v>36302634930</v>
      </c>
      <c r="O221" t="s">
        <v>2214</v>
      </c>
      <c r="P221" t="s">
        <v>2215</v>
      </c>
      <c r="Q221" t="s">
        <v>2214</v>
      </c>
      <c r="R221" s="34" t="s">
        <v>1113</v>
      </c>
      <c r="S221" t="s">
        <v>350</v>
      </c>
      <c r="T221" t="s">
        <v>351</v>
      </c>
      <c r="U221" t="s">
        <v>352</v>
      </c>
      <c r="V221">
        <v>39</v>
      </c>
      <c r="W221">
        <v>34</v>
      </c>
      <c r="X221" s="5">
        <v>73</v>
      </c>
      <c r="Y221" s="5">
        <v>91.25</v>
      </c>
      <c r="Z221" s="33">
        <v>25</v>
      </c>
      <c r="AA221" s="5">
        <v>116.25</v>
      </c>
      <c r="AB221" s="9">
        <v>147.25</v>
      </c>
      <c r="AI221" t="s">
        <v>707</v>
      </c>
      <c r="AJ221" t="s">
        <v>707</v>
      </c>
      <c r="AK221" t="s">
        <v>707</v>
      </c>
      <c r="AO221" t="s">
        <v>3114</v>
      </c>
      <c r="AQ221" s="24">
        <v>46084.52375</v>
      </c>
    </row>
    <row r="222" spans="2:43" x14ac:dyDescent="0.25">
      <c r="B222">
        <v>187</v>
      </c>
      <c r="C222">
        <v>9</v>
      </c>
      <c r="D222" s="21">
        <v>46087.489583333336</v>
      </c>
      <c r="E222">
        <v>184</v>
      </c>
      <c r="F222" t="s">
        <v>707</v>
      </c>
      <c r="G222">
        <v>73362108829</v>
      </c>
      <c r="H222" t="s">
        <v>2216</v>
      </c>
      <c r="I222" s="5">
        <v>47</v>
      </c>
      <c r="J222" t="s">
        <v>2217</v>
      </c>
      <c r="K222" s="18">
        <v>42271</v>
      </c>
      <c r="L222" t="s">
        <v>2218</v>
      </c>
      <c r="M222" t="s">
        <v>2219</v>
      </c>
      <c r="N222">
        <v>36309991298</v>
      </c>
      <c r="O222" t="s">
        <v>2220</v>
      </c>
      <c r="P222" t="s">
        <v>2221</v>
      </c>
      <c r="Q222" t="s">
        <v>2220</v>
      </c>
      <c r="R222" s="34" t="s">
        <v>2403</v>
      </c>
      <c r="S222" t="s">
        <v>379</v>
      </c>
      <c r="T222" t="s">
        <v>380</v>
      </c>
      <c r="U222" t="s">
        <v>381</v>
      </c>
      <c r="V222">
        <v>25</v>
      </c>
      <c r="W222">
        <v>31</v>
      </c>
      <c r="X222" s="5">
        <v>56</v>
      </c>
      <c r="Y222" s="5">
        <v>70</v>
      </c>
      <c r="Z222" s="33">
        <v>22</v>
      </c>
      <c r="AA222" s="5">
        <v>92</v>
      </c>
      <c r="AB222" s="9">
        <v>139</v>
      </c>
      <c r="AI222" t="s">
        <v>707</v>
      </c>
      <c r="AJ222" t="s">
        <v>707</v>
      </c>
      <c r="AK222" t="s">
        <v>707</v>
      </c>
      <c r="AL222" t="s">
        <v>707</v>
      </c>
      <c r="AO222" t="s">
        <v>3115</v>
      </c>
      <c r="AQ222" s="24">
        <v>46084.523692129631</v>
      </c>
    </row>
    <row r="223" spans="2:43" x14ac:dyDescent="0.25">
      <c r="B223">
        <v>197</v>
      </c>
      <c r="C223">
        <v>1</v>
      </c>
      <c r="D223" s="21">
        <v>46091.604166666664</v>
      </c>
      <c r="E223">
        <v>117</v>
      </c>
      <c r="F223" t="s">
        <v>707</v>
      </c>
      <c r="G223">
        <v>73377956129</v>
      </c>
      <c r="H223" t="s">
        <v>2222</v>
      </c>
      <c r="I223" s="5">
        <v>46</v>
      </c>
      <c r="J223" t="s">
        <v>1097</v>
      </c>
      <c r="K223" s="18">
        <v>42192</v>
      </c>
      <c r="L223" t="s">
        <v>2223</v>
      </c>
      <c r="M223" t="s">
        <v>2224</v>
      </c>
      <c r="N223">
        <v>36709433987</v>
      </c>
      <c r="O223" t="s">
        <v>2225</v>
      </c>
      <c r="P223" t="s">
        <v>2226</v>
      </c>
      <c r="Q223" t="s">
        <v>2227</v>
      </c>
      <c r="R223" s="34" t="s">
        <v>2412</v>
      </c>
      <c r="S223" t="s">
        <v>107</v>
      </c>
      <c r="T223" t="s">
        <v>108</v>
      </c>
      <c r="U223" t="s">
        <v>109</v>
      </c>
      <c r="V223">
        <v>32</v>
      </c>
      <c r="W223">
        <v>35</v>
      </c>
      <c r="X223" s="5">
        <v>67</v>
      </c>
      <c r="Y223" s="5">
        <v>83.75</v>
      </c>
      <c r="Z223" s="33">
        <v>25</v>
      </c>
      <c r="AA223" s="5">
        <v>108.75</v>
      </c>
      <c r="AB223" s="9">
        <v>154.75</v>
      </c>
      <c r="AI223" t="s">
        <v>707</v>
      </c>
      <c r="AJ223" t="s">
        <v>707</v>
      </c>
      <c r="AK223" t="s">
        <v>707</v>
      </c>
      <c r="AL223" t="s">
        <v>707</v>
      </c>
      <c r="AO223" t="s">
        <v>3116</v>
      </c>
      <c r="AQ223" s="24">
        <v>46084.523055555554</v>
      </c>
    </row>
    <row r="224" spans="2:43" x14ac:dyDescent="0.25">
      <c r="B224">
        <v>198</v>
      </c>
      <c r="C224">
        <v>2</v>
      </c>
      <c r="D224" s="21">
        <v>46091.604166666664</v>
      </c>
      <c r="E224" s="31">
        <v>72</v>
      </c>
      <c r="F224" t="s">
        <v>707</v>
      </c>
      <c r="G224">
        <v>73403301833</v>
      </c>
      <c r="H224" t="s">
        <v>2228</v>
      </c>
      <c r="I224" s="5">
        <v>42</v>
      </c>
      <c r="J224" t="s">
        <v>1103</v>
      </c>
      <c r="K224" s="18">
        <v>42235</v>
      </c>
      <c r="L224" t="s">
        <v>2229</v>
      </c>
      <c r="M224" t="s">
        <v>2230</v>
      </c>
      <c r="N224">
        <v>36304714763</v>
      </c>
      <c r="O224" t="s">
        <v>2231</v>
      </c>
      <c r="P224" t="s">
        <v>2232</v>
      </c>
      <c r="Q224" t="s">
        <v>2231</v>
      </c>
      <c r="R224" s="34" t="s">
        <v>2886</v>
      </c>
      <c r="S224" t="s">
        <v>2233</v>
      </c>
      <c r="T224" t="s">
        <v>2874</v>
      </c>
      <c r="U224" t="s">
        <v>2875</v>
      </c>
      <c r="V224">
        <v>43</v>
      </c>
      <c r="W224">
        <v>35</v>
      </c>
      <c r="X224" s="5">
        <v>78</v>
      </c>
      <c r="Y224" s="5">
        <v>97.5</v>
      </c>
      <c r="Z224" s="33">
        <v>25</v>
      </c>
      <c r="AA224" s="5">
        <v>122.5</v>
      </c>
      <c r="AB224" s="9">
        <v>164.5</v>
      </c>
      <c r="AI224" t="s">
        <v>707</v>
      </c>
      <c r="AJ224" t="s">
        <v>707</v>
      </c>
      <c r="AK224" t="s">
        <v>707</v>
      </c>
      <c r="AL224" t="s">
        <v>707</v>
      </c>
      <c r="AO224" t="s">
        <v>3117</v>
      </c>
      <c r="AQ224" s="24">
        <v>46084.523854166669</v>
      </c>
    </row>
    <row r="225" spans="2:43" x14ac:dyDescent="0.25">
      <c r="B225">
        <v>199</v>
      </c>
      <c r="C225">
        <v>2</v>
      </c>
      <c r="D225" s="21">
        <v>46091.604166666664</v>
      </c>
      <c r="E225">
        <v>120</v>
      </c>
      <c r="F225" t="s">
        <v>707</v>
      </c>
      <c r="G225">
        <v>73484274121</v>
      </c>
      <c r="H225" t="s">
        <v>2234</v>
      </c>
      <c r="I225" s="5">
        <v>33</v>
      </c>
      <c r="J225" t="s">
        <v>1105</v>
      </c>
      <c r="K225" s="18">
        <v>42468</v>
      </c>
      <c r="L225" t="s">
        <v>2235</v>
      </c>
      <c r="M225" t="s">
        <v>2236</v>
      </c>
      <c r="N225">
        <v>36703816060</v>
      </c>
      <c r="O225" t="s">
        <v>2237</v>
      </c>
      <c r="P225" t="s">
        <v>2238</v>
      </c>
      <c r="Q225" t="s">
        <v>2237</v>
      </c>
      <c r="R225" s="34" t="s">
        <v>2834</v>
      </c>
      <c r="S225" t="s">
        <v>1287</v>
      </c>
      <c r="T225" t="s">
        <v>193</v>
      </c>
      <c r="U225" t="s">
        <v>194</v>
      </c>
      <c r="V225">
        <v>35</v>
      </c>
      <c r="W225">
        <v>42</v>
      </c>
      <c r="X225" s="5">
        <v>77</v>
      </c>
      <c r="Y225" s="5">
        <v>96.25</v>
      </c>
      <c r="Z225" s="33">
        <v>25</v>
      </c>
      <c r="AA225" s="5">
        <v>121.25</v>
      </c>
      <c r="AB225" s="9">
        <v>154.25</v>
      </c>
      <c r="AI225" t="s">
        <v>707</v>
      </c>
      <c r="AJ225" t="s">
        <v>707</v>
      </c>
      <c r="AK225" t="s">
        <v>707</v>
      </c>
      <c r="AL225" t="s">
        <v>707</v>
      </c>
      <c r="AO225" t="s">
        <v>3118</v>
      </c>
      <c r="AQ225" s="24">
        <v>46084.523854166669</v>
      </c>
    </row>
    <row r="226" spans="2:43" x14ac:dyDescent="0.25">
      <c r="B226">
        <v>200</v>
      </c>
      <c r="C226">
        <v>2</v>
      </c>
      <c r="D226" s="21">
        <v>46091.604166666664</v>
      </c>
      <c r="E226">
        <v>105</v>
      </c>
      <c r="F226" t="s">
        <v>707</v>
      </c>
      <c r="G226">
        <v>73355315314</v>
      </c>
      <c r="H226" t="s">
        <v>2239</v>
      </c>
      <c r="I226" s="5">
        <v>37</v>
      </c>
      <c r="J226" t="s">
        <v>1097</v>
      </c>
      <c r="K226" s="18">
        <v>42220</v>
      </c>
      <c r="L226" t="s">
        <v>2240</v>
      </c>
      <c r="M226" t="s">
        <v>2241</v>
      </c>
      <c r="N226">
        <v>36202267200</v>
      </c>
      <c r="O226" t="s">
        <v>2242</v>
      </c>
      <c r="P226" t="s">
        <v>2243</v>
      </c>
      <c r="Q226" t="s">
        <v>2242</v>
      </c>
      <c r="R226" s="34" t="s">
        <v>2376</v>
      </c>
      <c r="S226" t="s">
        <v>470</v>
      </c>
      <c r="T226" t="s">
        <v>471</v>
      </c>
      <c r="U226" t="s">
        <v>472</v>
      </c>
      <c r="V226">
        <v>37</v>
      </c>
      <c r="W226">
        <v>39</v>
      </c>
      <c r="X226" s="5">
        <v>76</v>
      </c>
      <c r="Y226" s="5">
        <v>95</v>
      </c>
      <c r="Z226" s="33">
        <v>25</v>
      </c>
      <c r="AA226" s="5">
        <v>120</v>
      </c>
      <c r="AB226" s="9">
        <v>157</v>
      </c>
      <c r="AD226" t="s">
        <v>707</v>
      </c>
      <c r="AI226" t="s">
        <v>707</v>
      </c>
      <c r="AJ226" t="s">
        <v>707</v>
      </c>
      <c r="AK226" t="s">
        <v>707</v>
      </c>
      <c r="AL226" t="s">
        <v>707</v>
      </c>
      <c r="AO226" t="s">
        <v>3119</v>
      </c>
      <c r="AQ226" s="24">
        <v>46084.523854166669</v>
      </c>
    </row>
    <row r="227" spans="2:43" x14ac:dyDescent="0.25">
      <c r="B227">
        <v>237</v>
      </c>
      <c r="C227">
        <v>2</v>
      </c>
      <c r="D227" s="21">
        <v>46098.635416666664</v>
      </c>
      <c r="E227">
        <v>154</v>
      </c>
      <c r="F227" t="s">
        <v>707</v>
      </c>
      <c r="G227">
        <v>73394043958</v>
      </c>
      <c r="H227" t="s">
        <v>2244</v>
      </c>
      <c r="I227" s="5">
        <v>44</v>
      </c>
      <c r="J227" t="s">
        <v>1097</v>
      </c>
      <c r="K227" s="18">
        <v>42277</v>
      </c>
      <c r="L227" t="s">
        <v>2245</v>
      </c>
      <c r="M227" s="3" t="s">
        <v>2422</v>
      </c>
      <c r="N227">
        <v>36302706541</v>
      </c>
      <c r="O227" t="s">
        <v>2246</v>
      </c>
      <c r="P227" t="s">
        <v>2244</v>
      </c>
      <c r="Q227" t="s">
        <v>2247</v>
      </c>
      <c r="R227" s="34"/>
      <c r="V227">
        <v>33</v>
      </c>
      <c r="W227">
        <v>31</v>
      </c>
      <c r="X227" s="5">
        <v>64</v>
      </c>
      <c r="Y227" s="5">
        <v>80</v>
      </c>
      <c r="Z227" s="33">
        <v>23.63</v>
      </c>
      <c r="AA227" s="5">
        <v>103.63</v>
      </c>
      <c r="AB227" s="9">
        <v>147.63</v>
      </c>
      <c r="AD227" t="s">
        <v>707</v>
      </c>
      <c r="AI227" t="s">
        <v>707</v>
      </c>
      <c r="AJ227" t="s">
        <v>707</v>
      </c>
      <c r="AL227" t="s">
        <v>707</v>
      </c>
      <c r="AO227" t="s">
        <v>3120</v>
      </c>
      <c r="AQ227" s="24">
        <v>46084.523125</v>
      </c>
    </row>
    <row r="228" spans="2:43" x14ac:dyDescent="0.25">
      <c r="B228">
        <v>201</v>
      </c>
      <c r="C228">
        <v>2</v>
      </c>
      <c r="D228" s="21">
        <v>46091.604166666664</v>
      </c>
      <c r="E228">
        <v>107</v>
      </c>
      <c r="F228" t="s">
        <v>707</v>
      </c>
      <c r="G228">
        <v>73393876626</v>
      </c>
      <c r="H228" t="s">
        <v>2248</v>
      </c>
      <c r="I228" s="5">
        <v>46</v>
      </c>
      <c r="J228" t="s">
        <v>2249</v>
      </c>
      <c r="K228" s="18">
        <v>42348</v>
      </c>
      <c r="L228" t="s">
        <v>2250</v>
      </c>
      <c r="M228" t="s">
        <v>2251</v>
      </c>
      <c r="N228">
        <v>36308576278</v>
      </c>
      <c r="O228" t="s">
        <v>2252</v>
      </c>
      <c r="P228" t="s">
        <v>2250</v>
      </c>
      <c r="Q228" t="s">
        <v>2252</v>
      </c>
      <c r="R228" s="34" t="s">
        <v>2887</v>
      </c>
      <c r="S228" t="s">
        <v>2253</v>
      </c>
      <c r="T228" t="s">
        <v>2877</v>
      </c>
      <c r="U228" t="s">
        <v>2879</v>
      </c>
      <c r="V228">
        <v>36</v>
      </c>
      <c r="W228">
        <v>32</v>
      </c>
      <c r="X228" s="5">
        <v>68</v>
      </c>
      <c r="Y228" s="5">
        <v>85</v>
      </c>
      <c r="Z228" s="33">
        <v>25</v>
      </c>
      <c r="AA228" s="5">
        <v>110</v>
      </c>
      <c r="AB228" s="9">
        <v>156</v>
      </c>
      <c r="AI228" t="s">
        <v>707</v>
      </c>
      <c r="AJ228" t="s">
        <v>707</v>
      </c>
      <c r="AK228" t="s">
        <v>707</v>
      </c>
      <c r="AL228" t="s">
        <v>707</v>
      </c>
      <c r="AO228" t="s">
        <v>3121</v>
      </c>
      <c r="AQ228" s="24">
        <v>46084.523854166669</v>
      </c>
    </row>
    <row r="229" spans="2:43" x14ac:dyDescent="0.25">
      <c r="B229">
        <v>188</v>
      </c>
      <c r="C229">
        <v>9</v>
      </c>
      <c r="D229" s="21">
        <v>46087.510416666664</v>
      </c>
      <c r="E229">
        <v>150</v>
      </c>
      <c r="F229" t="s">
        <v>707</v>
      </c>
      <c r="G229">
        <v>73368474407</v>
      </c>
      <c r="H229" t="s">
        <v>2254</v>
      </c>
      <c r="I229" s="5">
        <v>37</v>
      </c>
      <c r="J229" t="s">
        <v>1096</v>
      </c>
      <c r="K229" s="18">
        <v>42347</v>
      </c>
      <c r="L229" t="s">
        <v>2255</v>
      </c>
      <c r="M229" t="s">
        <v>2256</v>
      </c>
      <c r="N229">
        <v>36306247725</v>
      </c>
      <c r="O229" t="s">
        <v>2257</v>
      </c>
      <c r="P229" t="s">
        <v>2258</v>
      </c>
      <c r="Q229" t="s">
        <v>2259</v>
      </c>
      <c r="R229" s="34" t="s">
        <v>2856</v>
      </c>
      <c r="S229" t="s">
        <v>1634</v>
      </c>
      <c r="T229" t="s">
        <v>609</v>
      </c>
      <c r="U229" t="s">
        <v>2853</v>
      </c>
      <c r="V229">
        <v>37</v>
      </c>
      <c r="W229">
        <v>33</v>
      </c>
      <c r="X229" s="5">
        <v>70</v>
      </c>
      <c r="Y229" s="5">
        <v>87.5</v>
      </c>
      <c r="Z229" s="33">
        <v>23.64</v>
      </c>
      <c r="AA229" s="5">
        <v>111.14</v>
      </c>
      <c r="AB229" s="9">
        <v>148.13999999999999</v>
      </c>
      <c r="AF229" t="s">
        <v>707</v>
      </c>
      <c r="AI229" t="s">
        <v>707</v>
      </c>
      <c r="AJ229" t="s">
        <v>707</v>
      </c>
      <c r="AK229" t="s">
        <v>707</v>
      </c>
      <c r="AL229" t="s">
        <v>707</v>
      </c>
      <c r="AO229" t="s">
        <v>3122</v>
      </c>
      <c r="AQ229" s="24">
        <v>46084.52375</v>
      </c>
    </row>
    <row r="230" spans="2:43" x14ac:dyDescent="0.25">
      <c r="B230">
        <v>202</v>
      </c>
      <c r="C230">
        <v>1</v>
      </c>
      <c r="D230" s="21">
        <v>46091.625</v>
      </c>
      <c r="E230">
        <v>220</v>
      </c>
      <c r="F230" t="s">
        <v>707</v>
      </c>
      <c r="G230">
        <v>73439729834</v>
      </c>
      <c r="H230" t="s">
        <v>2260</v>
      </c>
      <c r="I230" s="5">
        <v>11</v>
      </c>
      <c r="J230" t="s">
        <v>1097</v>
      </c>
      <c r="K230" s="18">
        <v>42311</v>
      </c>
      <c r="L230" t="s">
        <v>2261</v>
      </c>
      <c r="M230" t="s">
        <v>2262</v>
      </c>
      <c r="N230">
        <v>36306452025</v>
      </c>
      <c r="O230" t="s">
        <v>2263</v>
      </c>
      <c r="P230" t="s">
        <v>2264</v>
      </c>
      <c r="Q230" t="s">
        <v>2265</v>
      </c>
      <c r="R230" s="34" t="s">
        <v>2381</v>
      </c>
      <c r="S230" t="s">
        <v>188</v>
      </c>
      <c r="T230" t="s">
        <v>189</v>
      </c>
      <c r="U230" t="s">
        <v>190</v>
      </c>
      <c r="V230">
        <v>35</v>
      </c>
      <c r="W230">
        <v>37</v>
      </c>
      <c r="X230" s="5">
        <v>72</v>
      </c>
      <c r="Y230" s="5">
        <v>90</v>
      </c>
      <c r="Z230" s="33">
        <v>25</v>
      </c>
      <c r="AA230" s="5">
        <v>115</v>
      </c>
      <c r="AB230" s="9">
        <v>126</v>
      </c>
      <c r="AI230" t="s">
        <v>707</v>
      </c>
      <c r="AJ230" t="s">
        <v>707</v>
      </c>
      <c r="AK230" t="s">
        <v>707</v>
      </c>
      <c r="AO230" t="s">
        <v>3123</v>
      </c>
      <c r="AQ230" s="24">
        <v>46084.523865740739</v>
      </c>
    </row>
    <row r="231" spans="2:43" x14ac:dyDescent="0.25">
      <c r="B231">
        <v>203</v>
      </c>
      <c r="C231">
        <v>1</v>
      </c>
      <c r="D231" s="21">
        <v>46091.625</v>
      </c>
      <c r="E231" s="31">
        <v>38</v>
      </c>
      <c r="F231" t="s">
        <v>707</v>
      </c>
      <c r="G231">
        <v>73489743706</v>
      </c>
      <c r="H231" t="s">
        <v>2266</v>
      </c>
      <c r="I231" s="5">
        <v>43</v>
      </c>
      <c r="J231" t="s">
        <v>1243</v>
      </c>
      <c r="K231" s="18">
        <v>42528</v>
      </c>
      <c r="L231" t="s">
        <v>2267</v>
      </c>
      <c r="M231" t="s">
        <v>2268</v>
      </c>
      <c r="N231">
        <v>36703929520</v>
      </c>
      <c r="O231" t="s">
        <v>2269</v>
      </c>
      <c r="P231" t="s">
        <v>2266</v>
      </c>
      <c r="Q231" t="s">
        <v>2269</v>
      </c>
      <c r="R231" s="34" t="s">
        <v>2413</v>
      </c>
      <c r="S231" t="s">
        <v>343</v>
      </c>
      <c r="T231" t="s">
        <v>344</v>
      </c>
      <c r="U231" t="s">
        <v>147</v>
      </c>
      <c r="V231">
        <v>39</v>
      </c>
      <c r="W231">
        <v>44</v>
      </c>
      <c r="X231" s="5">
        <v>83</v>
      </c>
      <c r="Y231" s="5">
        <v>103.75</v>
      </c>
      <c r="Z231" s="33">
        <v>25</v>
      </c>
      <c r="AA231" s="5">
        <v>128.75</v>
      </c>
      <c r="AB231" s="9">
        <v>171.75</v>
      </c>
      <c r="AG231" t="s">
        <v>707</v>
      </c>
      <c r="AI231" t="s">
        <v>707</v>
      </c>
      <c r="AJ231" t="s">
        <v>707</v>
      </c>
      <c r="AK231" t="s">
        <v>707</v>
      </c>
      <c r="AL231" t="s">
        <v>707</v>
      </c>
      <c r="AO231" t="s">
        <v>3124</v>
      </c>
      <c r="AQ231" s="24">
        <v>46084.523865740739</v>
      </c>
    </row>
    <row r="232" spans="2:43" x14ac:dyDescent="0.25">
      <c r="B232">
        <v>204</v>
      </c>
      <c r="C232">
        <v>1</v>
      </c>
      <c r="D232" s="21">
        <v>46091.625</v>
      </c>
      <c r="E232">
        <v>96</v>
      </c>
      <c r="F232" t="s">
        <v>707</v>
      </c>
      <c r="G232">
        <v>73394526266</v>
      </c>
      <c r="H232" t="s">
        <v>2270</v>
      </c>
      <c r="I232" s="5">
        <v>47</v>
      </c>
      <c r="J232" t="s">
        <v>1102</v>
      </c>
      <c r="K232" s="18">
        <v>42019</v>
      </c>
      <c r="L232" t="s">
        <v>2271</v>
      </c>
      <c r="M232" t="s">
        <v>2272</v>
      </c>
      <c r="N232">
        <v>36303313550</v>
      </c>
      <c r="O232" t="s">
        <v>2273</v>
      </c>
      <c r="P232" t="s">
        <v>2274</v>
      </c>
      <c r="Q232" t="s">
        <v>2273</v>
      </c>
      <c r="R232" s="34" t="s">
        <v>2372</v>
      </c>
      <c r="S232" t="s">
        <v>643</v>
      </c>
      <c r="T232" t="s">
        <v>644</v>
      </c>
      <c r="U232" t="s">
        <v>645</v>
      </c>
      <c r="V232">
        <v>35</v>
      </c>
      <c r="W232">
        <v>35</v>
      </c>
      <c r="X232" s="5">
        <v>70</v>
      </c>
      <c r="Y232" s="5">
        <v>87.5</v>
      </c>
      <c r="Z232" s="33">
        <v>24.5</v>
      </c>
      <c r="AA232" s="5">
        <v>112</v>
      </c>
      <c r="AB232" s="9">
        <v>159</v>
      </c>
      <c r="AH232" t="s">
        <v>2275</v>
      </c>
      <c r="AI232" t="s">
        <v>707</v>
      </c>
      <c r="AJ232" t="s">
        <v>707</v>
      </c>
      <c r="AO232" t="s">
        <v>3125</v>
      </c>
      <c r="AQ232" s="24">
        <v>46084.523865740739</v>
      </c>
    </row>
    <row r="233" spans="2:43" x14ac:dyDescent="0.25">
      <c r="B233">
        <v>205</v>
      </c>
      <c r="C233">
        <v>1</v>
      </c>
      <c r="D233" s="21">
        <v>46091.625</v>
      </c>
      <c r="E233" s="31">
        <v>40</v>
      </c>
      <c r="F233" t="s">
        <v>707</v>
      </c>
      <c r="G233">
        <v>73356617786</v>
      </c>
      <c r="H233" t="s">
        <v>2276</v>
      </c>
      <c r="I233" s="5">
        <v>50</v>
      </c>
      <c r="J233" t="s">
        <v>1101</v>
      </c>
      <c r="K233" s="18">
        <v>42250</v>
      </c>
      <c r="L233" t="s">
        <v>2277</v>
      </c>
      <c r="M233" t="s">
        <v>2278</v>
      </c>
      <c r="N233">
        <v>36704519285</v>
      </c>
      <c r="O233" t="s">
        <v>2279</v>
      </c>
      <c r="P233" t="s">
        <v>2280</v>
      </c>
      <c r="Q233" t="s">
        <v>2279</v>
      </c>
      <c r="R233" s="34"/>
      <c r="V233">
        <v>37</v>
      </c>
      <c r="W233">
        <v>40</v>
      </c>
      <c r="X233" s="5">
        <v>77</v>
      </c>
      <c r="Y233" s="5">
        <v>96.25</v>
      </c>
      <c r="Z233" s="33">
        <v>25</v>
      </c>
      <c r="AA233" s="5">
        <v>121.25</v>
      </c>
      <c r="AB233" s="9">
        <v>171.25</v>
      </c>
      <c r="AI233" t="s">
        <v>707</v>
      </c>
      <c r="AJ233" t="s">
        <v>707</v>
      </c>
      <c r="AK233" t="s">
        <v>707</v>
      </c>
      <c r="AL233" t="s">
        <v>707</v>
      </c>
      <c r="AO233" t="s">
        <v>3126</v>
      </c>
      <c r="AQ233" s="24">
        <v>46084.523865740739</v>
      </c>
    </row>
    <row r="234" spans="2:43" x14ac:dyDescent="0.25">
      <c r="B234">
        <v>206</v>
      </c>
      <c r="C234">
        <v>2</v>
      </c>
      <c r="D234" s="21">
        <v>46091.625</v>
      </c>
      <c r="E234">
        <v>103</v>
      </c>
      <c r="F234" t="s">
        <v>707</v>
      </c>
      <c r="G234">
        <v>73433973380</v>
      </c>
      <c r="H234" t="s">
        <v>2281</v>
      </c>
      <c r="I234" s="5">
        <v>46</v>
      </c>
      <c r="J234" t="s">
        <v>1100</v>
      </c>
      <c r="K234" s="18">
        <v>42545</v>
      </c>
      <c r="L234" t="s">
        <v>2282</v>
      </c>
      <c r="M234" t="s">
        <v>2283</v>
      </c>
      <c r="N234">
        <v>36302640729</v>
      </c>
      <c r="O234" t="s">
        <v>2284</v>
      </c>
      <c r="P234" t="s">
        <v>2285</v>
      </c>
      <c r="Q234" t="s">
        <v>2284</v>
      </c>
      <c r="R234" s="34" t="s">
        <v>1117</v>
      </c>
      <c r="S234" t="s">
        <v>285</v>
      </c>
      <c r="T234" t="s">
        <v>286</v>
      </c>
      <c r="U234" t="s">
        <v>287</v>
      </c>
      <c r="V234">
        <v>42</v>
      </c>
      <c r="W234">
        <v>27</v>
      </c>
      <c r="X234" s="5">
        <v>69</v>
      </c>
      <c r="Y234" s="5">
        <v>86.25</v>
      </c>
      <c r="Z234" s="33">
        <v>25</v>
      </c>
      <c r="AA234" s="5">
        <v>111.25</v>
      </c>
      <c r="AB234" s="9">
        <v>157.25</v>
      </c>
      <c r="AD234" t="s">
        <v>707</v>
      </c>
      <c r="AI234" t="s">
        <v>707</v>
      </c>
      <c r="AJ234" t="s">
        <v>707</v>
      </c>
      <c r="AK234" t="s">
        <v>707</v>
      </c>
      <c r="AL234" t="s">
        <v>707</v>
      </c>
      <c r="AO234" t="s">
        <v>3127</v>
      </c>
      <c r="AQ234" s="24">
        <v>46084.523888888885</v>
      </c>
    </row>
    <row r="235" spans="2:43" x14ac:dyDescent="0.25">
      <c r="B235">
        <v>207</v>
      </c>
      <c r="C235">
        <v>2</v>
      </c>
      <c r="D235" s="21">
        <v>46091.625</v>
      </c>
      <c r="E235">
        <v>92</v>
      </c>
      <c r="F235" t="s">
        <v>707</v>
      </c>
      <c r="G235">
        <v>73443908312</v>
      </c>
      <c r="H235" t="s">
        <v>2286</v>
      </c>
      <c r="I235" s="5">
        <v>36</v>
      </c>
      <c r="J235" t="s">
        <v>1101</v>
      </c>
      <c r="K235" s="18">
        <v>42374</v>
      </c>
      <c r="L235" t="s">
        <v>2287</v>
      </c>
      <c r="M235" t="s">
        <v>2288</v>
      </c>
      <c r="N235">
        <v>36309330148</v>
      </c>
      <c r="O235" t="s">
        <v>2289</v>
      </c>
      <c r="P235" t="s">
        <v>2290</v>
      </c>
      <c r="Q235" t="s">
        <v>2289</v>
      </c>
      <c r="R235" s="34" t="s">
        <v>1111</v>
      </c>
      <c r="S235" t="s">
        <v>613</v>
      </c>
      <c r="T235" t="s">
        <v>614</v>
      </c>
      <c r="U235" t="s">
        <v>615</v>
      </c>
      <c r="V235">
        <v>43</v>
      </c>
      <c r="W235">
        <v>36</v>
      </c>
      <c r="X235" s="5">
        <v>79</v>
      </c>
      <c r="Y235" s="5">
        <v>98.75</v>
      </c>
      <c r="Z235" s="33">
        <v>24.5</v>
      </c>
      <c r="AA235" s="5">
        <v>123.25</v>
      </c>
      <c r="AB235" s="9">
        <v>159.25</v>
      </c>
      <c r="AI235" t="s">
        <v>707</v>
      </c>
      <c r="AJ235" t="s">
        <v>707</v>
      </c>
      <c r="AL235" t="s">
        <v>707</v>
      </c>
      <c r="AO235" t="s">
        <v>3128</v>
      </c>
      <c r="AQ235" s="24">
        <v>46084.523888888885</v>
      </c>
    </row>
    <row r="236" spans="2:43" x14ac:dyDescent="0.25">
      <c r="B236">
        <v>208</v>
      </c>
      <c r="C236">
        <v>2</v>
      </c>
      <c r="D236" s="21">
        <v>46091.625</v>
      </c>
      <c r="E236">
        <v>131</v>
      </c>
      <c r="F236" t="s">
        <v>707</v>
      </c>
      <c r="G236">
        <v>73463845757</v>
      </c>
      <c r="H236" t="s">
        <v>2291</v>
      </c>
      <c r="I236" s="5">
        <v>34</v>
      </c>
      <c r="J236" t="s">
        <v>1097</v>
      </c>
      <c r="K236" s="18">
        <v>42563</v>
      </c>
      <c r="L236" t="s">
        <v>2292</v>
      </c>
      <c r="M236" t="s">
        <v>2293</v>
      </c>
      <c r="N236">
        <v>36303188759</v>
      </c>
      <c r="O236" t="s">
        <v>2294</v>
      </c>
      <c r="P236" t="s">
        <v>2295</v>
      </c>
      <c r="Q236" t="s">
        <v>2294</v>
      </c>
      <c r="R236" s="34"/>
      <c r="V236">
        <v>34</v>
      </c>
      <c r="W236">
        <v>41</v>
      </c>
      <c r="X236" s="5">
        <v>75</v>
      </c>
      <c r="Y236" s="5">
        <v>93.75</v>
      </c>
      <c r="Z236" s="33">
        <v>24.5</v>
      </c>
      <c r="AA236" s="5">
        <v>118.25</v>
      </c>
      <c r="AB236" s="9">
        <v>152.25</v>
      </c>
      <c r="AI236" t="s">
        <v>707</v>
      </c>
      <c r="AJ236" t="s">
        <v>707</v>
      </c>
      <c r="AK236" t="s">
        <v>707</v>
      </c>
      <c r="AO236" t="s">
        <v>3129</v>
      </c>
      <c r="AQ236" s="24">
        <v>46084.523888888885</v>
      </c>
    </row>
    <row r="237" spans="2:43" x14ac:dyDescent="0.25">
      <c r="B237">
        <v>209</v>
      </c>
      <c r="C237">
        <v>2</v>
      </c>
      <c r="D237" s="21">
        <v>46091.625</v>
      </c>
      <c r="E237">
        <v>122</v>
      </c>
      <c r="F237" t="s">
        <v>707</v>
      </c>
      <c r="G237">
        <v>73470036843</v>
      </c>
      <c r="H237" t="s">
        <v>2296</v>
      </c>
      <c r="I237" s="5">
        <v>49</v>
      </c>
      <c r="J237" t="s">
        <v>1097</v>
      </c>
      <c r="K237" s="18">
        <v>42462</v>
      </c>
      <c r="L237" t="s">
        <v>2297</v>
      </c>
      <c r="M237" t="s">
        <v>2298</v>
      </c>
      <c r="N237">
        <v>36305351426</v>
      </c>
      <c r="O237" t="s">
        <v>2299</v>
      </c>
      <c r="P237" t="s">
        <v>2297</v>
      </c>
      <c r="Q237" t="s">
        <v>2299</v>
      </c>
      <c r="R237" s="34"/>
      <c r="V237">
        <v>34</v>
      </c>
      <c r="W237">
        <v>30</v>
      </c>
      <c r="X237" s="5">
        <v>64</v>
      </c>
      <c r="Y237" s="5">
        <v>80</v>
      </c>
      <c r="Z237" s="33">
        <v>25</v>
      </c>
      <c r="AA237" s="5">
        <v>105</v>
      </c>
      <c r="AB237" s="9">
        <v>154</v>
      </c>
      <c r="AI237" t="s">
        <v>707</v>
      </c>
      <c r="AJ237" t="s">
        <v>707</v>
      </c>
      <c r="AK237" t="s">
        <v>707</v>
      </c>
      <c r="AL237" t="s">
        <v>707</v>
      </c>
      <c r="AO237" t="s">
        <v>3130</v>
      </c>
      <c r="AQ237" s="24">
        <v>46084.523888888885</v>
      </c>
    </row>
    <row r="238" spans="2:43" x14ac:dyDescent="0.25">
      <c r="B238">
        <v>210</v>
      </c>
      <c r="C238">
        <v>1</v>
      </c>
      <c r="D238" s="21">
        <v>46093.604166666664</v>
      </c>
      <c r="E238" s="31">
        <v>5</v>
      </c>
      <c r="F238" t="s">
        <v>707</v>
      </c>
      <c r="G238">
        <v>73398612264</v>
      </c>
      <c r="H238" t="s">
        <v>2300</v>
      </c>
      <c r="I238" s="5">
        <v>47</v>
      </c>
      <c r="J238" t="s">
        <v>1098</v>
      </c>
      <c r="K238" s="18">
        <v>42261</v>
      </c>
      <c r="L238" t="s">
        <v>2301</v>
      </c>
      <c r="M238" t="s">
        <v>2302</v>
      </c>
      <c r="N238">
        <v>36205808560</v>
      </c>
      <c r="O238" t="s">
        <v>2303</v>
      </c>
      <c r="P238" t="s">
        <v>2304</v>
      </c>
      <c r="Q238" t="s">
        <v>2303</v>
      </c>
      <c r="R238" s="34" t="s">
        <v>2834</v>
      </c>
      <c r="S238" t="s">
        <v>1287</v>
      </c>
      <c r="T238" t="s">
        <v>193</v>
      </c>
      <c r="U238" t="s">
        <v>194</v>
      </c>
      <c r="V238">
        <v>46</v>
      </c>
      <c r="W238">
        <v>44</v>
      </c>
      <c r="X238" s="5">
        <v>90</v>
      </c>
      <c r="Y238" s="5">
        <v>112.5</v>
      </c>
      <c r="Z238" s="33">
        <v>25</v>
      </c>
      <c r="AA238" s="5">
        <v>137.5</v>
      </c>
      <c r="AB238" s="9">
        <v>184.5</v>
      </c>
      <c r="AJ238" t="s">
        <v>707</v>
      </c>
      <c r="AO238" t="s">
        <v>3131</v>
      </c>
      <c r="AQ238" s="24">
        <v>46084.523900462962</v>
      </c>
    </row>
    <row r="239" spans="2:43" x14ac:dyDescent="0.25">
      <c r="B239">
        <v>211</v>
      </c>
      <c r="C239">
        <v>2</v>
      </c>
      <c r="D239" s="21">
        <v>46098.604166666664</v>
      </c>
      <c r="E239">
        <v>169</v>
      </c>
      <c r="F239" t="s">
        <v>707</v>
      </c>
      <c r="G239">
        <v>73431940030</v>
      </c>
      <c r="H239" t="s">
        <v>2305</v>
      </c>
      <c r="I239" s="5">
        <v>42</v>
      </c>
      <c r="J239" t="s">
        <v>2306</v>
      </c>
      <c r="K239" s="18">
        <v>42465</v>
      </c>
      <c r="L239" t="s">
        <v>2307</v>
      </c>
      <c r="M239" t="s">
        <v>2308</v>
      </c>
      <c r="N239">
        <v>36706616956</v>
      </c>
      <c r="O239" t="s">
        <v>2309</v>
      </c>
      <c r="P239" t="s">
        <v>2307</v>
      </c>
      <c r="Q239" t="s">
        <v>2309</v>
      </c>
      <c r="R239" s="34" t="s">
        <v>2409</v>
      </c>
      <c r="S239" t="s">
        <v>170</v>
      </c>
      <c r="T239" t="s">
        <v>171</v>
      </c>
      <c r="U239" t="s">
        <v>147</v>
      </c>
      <c r="V239">
        <v>35</v>
      </c>
      <c r="W239">
        <v>28</v>
      </c>
      <c r="X239" s="5">
        <v>63</v>
      </c>
      <c r="Y239" s="5">
        <v>78.75</v>
      </c>
      <c r="Z239" s="33">
        <v>24.09</v>
      </c>
      <c r="AA239" s="5">
        <v>102.84</v>
      </c>
      <c r="AB239" s="9">
        <v>144.84</v>
      </c>
      <c r="AI239" t="s">
        <v>707</v>
      </c>
      <c r="AO239" t="s">
        <v>3132</v>
      </c>
      <c r="AQ239" s="24">
        <v>46084.523425925923</v>
      </c>
    </row>
    <row r="240" spans="2:43" x14ac:dyDescent="0.25">
      <c r="B240">
        <v>212</v>
      </c>
      <c r="C240">
        <v>1</v>
      </c>
      <c r="D240" s="21">
        <v>46093.604166666664</v>
      </c>
      <c r="E240">
        <v>130</v>
      </c>
      <c r="F240" t="s">
        <v>707</v>
      </c>
      <c r="G240">
        <v>73444461676</v>
      </c>
      <c r="H240" t="s">
        <v>2310</v>
      </c>
      <c r="I240" s="5">
        <v>30</v>
      </c>
      <c r="J240" t="s">
        <v>1102</v>
      </c>
      <c r="K240" s="18">
        <v>42450</v>
      </c>
      <c r="L240" t="s">
        <v>2311</v>
      </c>
      <c r="M240" t="s">
        <v>2312</v>
      </c>
      <c r="N240">
        <v>36202714370</v>
      </c>
      <c r="O240" t="s">
        <v>2313</v>
      </c>
      <c r="P240" t="s">
        <v>2311</v>
      </c>
      <c r="Q240" t="s">
        <v>2313</v>
      </c>
      <c r="R240" s="34"/>
      <c r="V240">
        <v>44</v>
      </c>
      <c r="W240">
        <v>34</v>
      </c>
      <c r="X240" s="5">
        <v>78</v>
      </c>
      <c r="Y240" s="5">
        <v>97.5</v>
      </c>
      <c r="Z240" s="33">
        <v>25</v>
      </c>
      <c r="AA240" s="5">
        <v>122.5</v>
      </c>
      <c r="AB240" s="9">
        <v>152.5</v>
      </c>
      <c r="AI240" t="s">
        <v>707</v>
      </c>
      <c r="AJ240" t="s">
        <v>707</v>
      </c>
      <c r="AK240" t="s">
        <v>707</v>
      </c>
      <c r="AL240" t="s">
        <v>707</v>
      </c>
      <c r="AO240" t="s">
        <v>3133</v>
      </c>
      <c r="AQ240" s="24">
        <v>46084.523900462962</v>
      </c>
    </row>
    <row r="241" spans="2:43" x14ac:dyDescent="0.25">
      <c r="B241">
        <v>213</v>
      </c>
      <c r="C241">
        <v>1</v>
      </c>
      <c r="D241" s="21">
        <v>46093.604166666664</v>
      </c>
      <c r="E241" s="31">
        <v>15</v>
      </c>
      <c r="F241" t="s">
        <v>707</v>
      </c>
      <c r="G241">
        <v>73402869117</v>
      </c>
      <c r="H241" t="s">
        <v>2314</v>
      </c>
      <c r="I241" s="5">
        <v>47</v>
      </c>
      <c r="J241" t="s">
        <v>1100</v>
      </c>
      <c r="K241" s="18">
        <v>42253</v>
      </c>
      <c r="L241" t="s">
        <v>2315</v>
      </c>
      <c r="M241" t="s">
        <v>2316</v>
      </c>
      <c r="N241">
        <v>36303093422</v>
      </c>
      <c r="O241" t="s">
        <v>2317</v>
      </c>
      <c r="P241" t="s">
        <v>2315</v>
      </c>
      <c r="Q241" t="s">
        <v>2318</v>
      </c>
      <c r="R241" s="34" t="s">
        <v>2377</v>
      </c>
      <c r="S241" t="s">
        <v>621</v>
      </c>
      <c r="T241" t="s">
        <v>622</v>
      </c>
      <c r="U241" t="s">
        <v>623</v>
      </c>
      <c r="V241">
        <v>40</v>
      </c>
      <c r="W241">
        <v>43</v>
      </c>
      <c r="X241" s="5">
        <v>83</v>
      </c>
      <c r="Y241" s="5">
        <v>103.75</v>
      </c>
      <c r="Z241" s="33">
        <v>25</v>
      </c>
      <c r="AA241" s="5">
        <v>128.75</v>
      </c>
      <c r="AB241" s="9">
        <v>175.75</v>
      </c>
      <c r="AI241" t="s">
        <v>707</v>
      </c>
      <c r="AJ241" t="s">
        <v>707</v>
      </c>
      <c r="AK241" t="s">
        <v>707</v>
      </c>
      <c r="AL241" t="s">
        <v>707</v>
      </c>
      <c r="AO241" t="s">
        <v>3134</v>
      </c>
      <c r="AQ241" s="24">
        <v>46084.523900462962</v>
      </c>
    </row>
    <row r="242" spans="2:43" x14ac:dyDescent="0.25">
      <c r="B242">
        <v>214</v>
      </c>
      <c r="C242">
        <v>1</v>
      </c>
      <c r="D242" s="21">
        <v>46093.625</v>
      </c>
      <c r="E242" s="31">
        <v>30</v>
      </c>
      <c r="F242" t="s">
        <v>707</v>
      </c>
      <c r="G242">
        <v>73402870154</v>
      </c>
      <c r="H242" t="s">
        <v>2319</v>
      </c>
      <c r="I242" s="5">
        <v>47</v>
      </c>
      <c r="J242" t="s">
        <v>1100</v>
      </c>
      <c r="K242" s="18">
        <v>42253</v>
      </c>
      <c r="L242" t="s">
        <v>2315</v>
      </c>
      <c r="M242" t="s">
        <v>2316</v>
      </c>
      <c r="N242">
        <v>36303093422</v>
      </c>
      <c r="O242" t="s">
        <v>2320</v>
      </c>
      <c r="P242" t="s">
        <v>2315</v>
      </c>
      <c r="Q242" t="s">
        <v>2321</v>
      </c>
      <c r="R242" s="34" t="s">
        <v>2377</v>
      </c>
      <c r="S242" t="s">
        <v>621</v>
      </c>
      <c r="T242" t="s">
        <v>622</v>
      </c>
      <c r="U242" t="s">
        <v>623</v>
      </c>
      <c r="V242">
        <v>44</v>
      </c>
      <c r="W242">
        <v>37</v>
      </c>
      <c r="X242" s="5">
        <v>81</v>
      </c>
      <c r="Y242" s="5">
        <v>101.25</v>
      </c>
      <c r="Z242" s="33">
        <v>25</v>
      </c>
      <c r="AA242" s="5">
        <v>126.25</v>
      </c>
      <c r="AB242" s="9">
        <v>173.25</v>
      </c>
      <c r="AI242" t="s">
        <v>707</v>
      </c>
      <c r="AJ242" t="s">
        <v>707</v>
      </c>
      <c r="AK242" t="s">
        <v>707</v>
      </c>
      <c r="AL242" t="s">
        <v>707</v>
      </c>
      <c r="AO242" t="s">
        <v>3134</v>
      </c>
      <c r="AQ242" s="24">
        <v>46084.523923611108</v>
      </c>
    </row>
    <row r="243" spans="2:43" x14ac:dyDescent="0.25">
      <c r="B243">
        <v>215</v>
      </c>
      <c r="C243">
        <v>1</v>
      </c>
      <c r="D243" s="21">
        <v>46093.604166666664</v>
      </c>
      <c r="E243">
        <v>156</v>
      </c>
      <c r="F243" t="s">
        <v>707</v>
      </c>
      <c r="G243">
        <v>73418185042</v>
      </c>
      <c r="H243" t="s">
        <v>2322</v>
      </c>
      <c r="I243" s="5">
        <v>33</v>
      </c>
      <c r="J243" t="s">
        <v>1105</v>
      </c>
      <c r="K243" s="18">
        <v>42400</v>
      </c>
      <c r="L243" t="s">
        <v>2323</v>
      </c>
      <c r="M243" t="s">
        <v>2324</v>
      </c>
      <c r="N243">
        <v>36702112201</v>
      </c>
      <c r="O243" t="s">
        <v>2325</v>
      </c>
      <c r="P243" t="s">
        <v>2326</v>
      </c>
      <c r="Q243" t="s">
        <v>2327</v>
      </c>
      <c r="R243" s="34" t="s">
        <v>1110</v>
      </c>
      <c r="S243" t="s">
        <v>327</v>
      </c>
      <c r="T243" t="s">
        <v>328</v>
      </c>
      <c r="U243" t="s">
        <v>329</v>
      </c>
      <c r="V243">
        <v>38</v>
      </c>
      <c r="W243">
        <v>34</v>
      </c>
      <c r="X243" s="5">
        <v>72</v>
      </c>
      <c r="Y243" s="5">
        <v>90</v>
      </c>
      <c r="Z243" s="33">
        <v>24.09</v>
      </c>
      <c r="AA243" s="5">
        <v>114.09</v>
      </c>
      <c r="AB243" s="9">
        <v>147.09</v>
      </c>
      <c r="AI243" t="s">
        <v>707</v>
      </c>
      <c r="AJ243" t="s">
        <v>707</v>
      </c>
      <c r="AK243" t="s">
        <v>707</v>
      </c>
      <c r="AL243" t="s">
        <v>707</v>
      </c>
      <c r="AO243" t="s">
        <v>3135</v>
      </c>
      <c r="AQ243" s="24">
        <v>46084.523900462962</v>
      </c>
    </row>
    <row r="244" spans="2:43" x14ac:dyDescent="0.25">
      <c r="E244" s="19">
        <v>248</v>
      </c>
      <c r="G244">
        <v>73403215172</v>
      </c>
      <c r="H244" t="s">
        <v>2328</v>
      </c>
      <c r="I244" s="5">
        <v>0</v>
      </c>
      <c r="J244" t="s">
        <v>1100</v>
      </c>
      <c r="K244" s="18">
        <v>42212</v>
      </c>
      <c r="L244" t="s">
        <v>2329</v>
      </c>
      <c r="M244" t="s">
        <v>2330</v>
      </c>
      <c r="N244">
        <v>36302961512</v>
      </c>
      <c r="O244" t="s">
        <v>2331</v>
      </c>
      <c r="P244" t="s">
        <v>2332</v>
      </c>
      <c r="Q244" t="s">
        <v>2331</v>
      </c>
      <c r="R244" s="34" t="s">
        <v>2888</v>
      </c>
      <c r="S244" t="s">
        <v>2333</v>
      </c>
      <c r="T244" t="s">
        <v>2880</v>
      </c>
      <c r="U244" t="s">
        <v>2882</v>
      </c>
      <c r="V244">
        <v>29</v>
      </c>
      <c r="W244">
        <v>16</v>
      </c>
      <c r="X244" s="5">
        <v>45</v>
      </c>
      <c r="Y244" s="5">
        <v>56.25</v>
      </c>
      <c r="Z244" s="33">
        <v>22.73</v>
      </c>
      <c r="AA244" s="5">
        <v>78.98</v>
      </c>
      <c r="AB244" s="9">
        <v>78.98</v>
      </c>
      <c r="AF244" t="s">
        <v>707</v>
      </c>
      <c r="AI244" t="s">
        <v>707</v>
      </c>
      <c r="AO244" t="s">
        <v>3136</v>
      </c>
    </row>
    <row r="245" spans="2:43" x14ac:dyDescent="0.25">
      <c r="B245">
        <v>216</v>
      </c>
      <c r="C245">
        <v>1</v>
      </c>
      <c r="D245" s="21">
        <v>46093.625</v>
      </c>
      <c r="E245">
        <v>153</v>
      </c>
      <c r="F245" t="s">
        <v>707</v>
      </c>
      <c r="G245">
        <v>73455804310</v>
      </c>
      <c r="H245" t="s">
        <v>2334</v>
      </c>
      <c r="I245" s="5">
        <v>22</v>
      </c>
      <c r="J245" t="s">
        <v>1098</v>
      </c>
      <c r="K245" s="18">
        <v>42535</v>
      </c>
      <c r="L245" t="s">
        <v>2335</v>
      </c>
      <c r="M245" t="s">
        <v>2336</v>
      </c>
      <c r="N245">
        <v>36706798566</v>
      </c>
      <c r="O245" t="s">
        <v>2337</v>
      </c>
      <c r="P245" t="s">
        <v>2338</v>
      </c>
      <c r="Q245" t="s">
        <v>2337</v>
      </c>
      <c r="R245" s="34"/>
      <c r="V245">
        <v>38</v>
      </c>
      <c r="W245">
        <v>43</v>
      </c>
      <c r="X245" s="5">
        <v>81</v>
      </c>
      <c r="Y245" s="5">
        <v>101.25</v>
      </c>
      <c r="Z245" s="33">
        <v>24.55</v>
      </c>
      <c r="AA245" s="5">
        <v>125.8</v>
      </c>
      <c r="AB245" s="9">
        <v>147.80000000000001</v>
      </c>
      <c r="AI245" t="s">
        <v>707</v>
      </c>
      <c r="AO245" t="s">
        <v>3137</v>
      </c>
      <c r="AQ245" s="24">
        <v>46084.523923611108</v>
      </c>
    </row>
    <row r="246" spans="2:43" x14ac:dyDescent="0.25">
      <c r="B246">
        <v>217</v>
      </c>
      <c r="C246">
        <v>1</v>
      </c>
      <c r="D246" s="21">
        <v>46093.625</v>
      </c>
      <c r="E246" s="31">
        <v>87</v>
      </c>
      <c r="F246" t="s">
        <v>707</v>
      </c>
      <c r="G246">
        <v>73368090786</v>
      </c>
      <c r="H246" t="s">
        <v>2339</v>
      </c>
      <c r="I246" s="5">
        <v>33</v>
      </c>
      <c r="J246" t="s">
        <v>1096</v>
      </c>
      <c r="K246" s="18">
        <v>42322</v>
      </c>
      <c r="L246" t="s">
        <v>2340</v>
      </c>
      <c r="M246" t="s">
        <v>2341</v>
      </c>
      <c r="N246">
        <v>36707957313</v>
      </c>
      <c r="O246" t="s">
        <v>2342</v>
      </c>
      <c r="P246" t="s">
        <v>2340</v>
      </c>
      <c r="Q246" t="s">
        <v>2342</v>
      </c>
      <c r="R246" s="34" t="s">
        <v>2889</v>
      </c>
      <c r="S246" t="s">
        <v>2343</v>
      </c>
      <c r="T246" t="s">
        <v>2883</v>
      </c>
      <c r="U246" t="s">
        <v>2885</v>
      </c>
      <c r="V246">
        <v>41</v>
      </c>
      <c r="W246">
        <v>41</v>
      </c>
      <c r="X246" s="5">
        <v>82</v>
      </c>
      <c r="Y246" s="5">
        <v>102.5</v>
      </c>
      <c r="Z246" s="33">
        <v>25</v>
      </c>
      <c r="AA246" s="5">
        <v>127.5</v>
      </c>
      <c r="AB246" s="9">
        <v>160.5</v>
      </c>
      <c r="AI246" t="s">
        <v>707</v>
      </c>
      <c r="AJ246" t="s">
        <v>707</v>
      </c>
      <c r="AL246" t="s">
        <v>707</v>
      </c>
      <c r="AO246" t="s">
        <v>3138</v>
      </c>
      <c r="AQ246" s="24">
        <v>46084.523923611108</v>
      </c>
    </row>
    <row r="247" spans="2:43" x14ac:dyDescent="0.25">
      <c r="B247">
        <v>218</v>
      </c>
      <c r="C247">
        <v>1</v>
      </c>
      <c r="D247" s="21">
        <v>46093.625</v>
      </c>
      <c r="E247">
        <v>185</v>
      </c>
      <c r="F247" t="s">
        <v>707</v>
      </c>
      <c r="G247">
        <v>73403341463</v>
      </c>
      <c r="H247" t="s">
        <v>2344</v>
      </c>
      <c r="I247" s="5">
        <v>39</v>
      </c>
      <c r="J247" t="s">
        <v>1100</v>
      </c>
      <c r="K247" s="18">
        <v>42114</v>
      </c>
      <c r="L247" t="s">
        <v>2345</v>
      </c>
      <c r="M247" t="s">
        <v>2346</v>
      </c>
      <c r="N247">
        <v>36303123135</v>
      </c>
      <c r="O247" t="s">
        <v>2347</v>
      </c>
      <c r="P247" t="s">
        <v>2345</v>
      </c>
      <c r="Q247" t="s">
        <v>2347</v>
      </c>
      <c r="R247" s="34" t="s">
        <v>1111</v>
      </c>
      <c r="S247" t="s">
        <v>613</v>
      </c>
      <c r="T247" t="s">
        <v>614</v>
      </c>
      <c r="U247" t="s">
        <v>615</v>
      </c>
      <c r="V247">
        <v>34</v>
      </c>
      <c r="W247">
        <v>26</v>
      </c>
      <c r="X247" s="5">
        <v>60</v>
      </c>
      <c r="Y247" s="5">
        <v>75</v>
      </c>
      <c r="Z247" s="33">
        <v>25</v>
      </c>
      <c r="AA247" s="5">
        <v>100</v>
      </c>
      <c r="AB247" s="9">
        <v>139</v>
      </c>
      <c r="AI247" t="s">
        <v>707</v>
      </c>
      <c r="AJ247" t="s">
        <v>707</v>
      </c>
      <c r="AK247" t="s">
        <v>707</v>
      </c>
      <c r="AL247" t="s">
        <v>707</v>
      </c>
      <c r="AO247" t="s">
        <v>3139</v>
      </c>
      <c r="AQ247" s="24">
        <v>46084.523923611108</v>
      </c>
    </row>
    <row r="248" spans="2:43" x14ac:dyDescent="0.25">
      <c r="B248">
        <v>219</v>
      </c>
      <c r="C248">
        <v>1</v>
      </c>
      <c r="D248" s="21">
        <v>46098.604166666664</v>
      </c>
      <c r="E248" s="31">
        <v>84</v>
      </c>
      <c r="F248" t="s">
        <v>707</v>
      </c>
      <c r="G248">
        <v>73403549050</v>
      </c>
      <c r="H248" t="s">
        <v>2348</v>
      </c>
      <c r="I248" s="5">
        <v>39</v>
      </c>
      <c r="J248" t="s">
        <v>1097</v>
      </c>
      <c r="K248" s="18">
        <v>42279</v>
      </c>
      <c r="L248" t="s">
        <v>2349</v>
      </c>
      <c r="M248" t="s">
        <v>2350</v>
      </c>
      <c r="N248">
        <v>36302806149</v>
      </c>
      <c r="O248" t="s">
        <v>2351</v>
      </c>
      <c r="P248" t="s">
        <v>2352</v>
      </c>
      <c r="Q248" t="s">
        <v>2353</v>
      </c>
      <c r="R248" s="34" t="s">
        <v>2831</v>
      </c>
      <c r="S248" t="s">
        <v>1167</v>
      </c>
      <c r="T248" t="s">
        <v>163</v>
      </c>
      <c r="U248" t="s">
        <v>164</v>
      </c>
      <c r="V248">
        <v>38</v>
      </c>
      <c r="W248">
        <v>40</v>
      </c>
      <c r="X248" s="5">
        <v>78</v>
      </c>
      <c r="Y248" s="5">
        <v>97.5</v>
      </c>
      <c r="Z248" s="33">
        <v>25</v>
      </c>
      <c r="AA248" s="5">
        <v>122.5</v>
      </c>
      <c r="AB248" s="9">
        <v>161.5</v>
      </c>
      <c r="AI248" t="s">
        <v>707</v>
      </c>
      <c r="AJ248" t="s">
        <v>707</v>
      </c>
      <c r="AK248" t="s">
        <v>707</v>
      </c>
      <c r="AL248" t="s">
        <v>707</v>
      </c>
      <c r="AO248" t="s">
        <v>3140</v>
      </c>
      <c r="AQ248" s="24">
        <v>46084.523043981484</v>
      </c>
    </row>
    <row r="249" spans="2:43" x14ac:dyDescent="0.25">
      <c r="B249">
        <v>220</v>
      </c>
      <c r="C249">
        <v>2</v>
      </c>
      <c r="D249" s="21">
        <v>46098.604166666664</v>
      </c>
      <c r="E249">
        <v>121</v>
      </c>
      <c r="F249" t="s">
        <v>707</v>
      </c>
      <c r="G249">
        <v>73403556636</v>
      </c>
      <c r="H249" t="s">
        <v>2354</v>
      </c>
      <c r="I249" s="5">
        <v>42</v>
      </c>
      <c r="J249" t="s">
        <v>1097</v>
      </c>
      <c r="K249" s="18">
        <v>42279</v>
      </c>
      <c r="L249" t="s">
        <v>2349</v>
      </c>
      <c r="M249" t="s">
        <v>2350</v>
      </c>
      <c r="N249">
        <v>36302806149</v>
      </c>
      <c r="O249" t="s">
        <v>2355</v>
      </c>
      <c r="P249" t="s">
        <v>2352</v>
      </c>
      <c r="Q249" t="s">
        <v>2356</v>
      </c>
      <c r="R249" s="34" t="s">
        <v>2831</v>
      </c>
      <c r="S249" t="s">
        <v>1167</v>
      </c>
      <c r="T249" t="s">
        <v>163</v>
      </c>
      <c r="U249" t="s">
        <v>164</v>
      </c>
      <c r="V249">
        <v>35</v>
      </c>
      <c r="W249">
        <v>35</v>
      </c>
      <c r="X249" s="5">
        <v>70</v>
      </c>
      <c r="Y249" s="5">
        <v>87.5</v>
      </c>
      <c r="Z249" s="33">
        <v>24.55</v>
      </c>
      <c r="AA249" s="5">
        <v>112.05</v>
      </c>
      <c r="AB249" s="9">
        <v>154.05000000000001</v>
      </c>
      <c r="AI249" t="s">
        <v>707</v>
      </c>
      <c r="AJ249" t="s">
        <v>707</v>
      </c>
      <c r="AK249" t="s">
        <v>707</v>
      </c>
      <c r="AL249" t="s">
        <v>707</v>
      </c>
      <c r="AO249" t="s">
        <v>3140</v>
      </c>
      <c r="AQ249" s="24">
        <v>46084.523425925923</v>
      </c>
    </row>
    <row r="250" spans="2:43" x14ac:dyDescent="0.25">
      <c r="C250">
        <v>1</v>
      </c>
      <c r="D250" s="21">
        <v>46085.635416666664</v>
      </c>
      <c r="E250">
        <v>135</v>
      </c>
      <c r="F250" t="s">
        <v>707</v>
      </c>
      <c r="G250">
        <v>73515823299</v>
      </c>
      <c r="H250" t="s">
        <v>2357</v>
      </c>
      <c r="I250" s="5">
        <v>21</v>
      </c>
      <c r="J250" t="s">
        <v>1101</v>
      </c>
      <c r="K250" s="18">
        <v>42424</v>
      </c>
      <c r="L250" t="s">
        <v>2358</v>
      </c>
      <c r="M250" t="s">
        <v>2359</v>
      </c>
      <c r="N250">
        <v>36306209778</v>
      </c>
      <c r="O250" t="s">
        <v>2360</v>
      </c>
      <c r="P250" t="s">
        <v>2358</v>
      </c>
      <c r="Q250" t="s">
        <v>2361</v>
      </c>
      <c r="R250" s="34" t="s">
        <v>2414</v>
      </c>
      <c r="S250" t="s">
        <v>186</v>
      </c>
      <c r="T250" t="s">
        <v>187</v>
      </c>
      <c r="U250" t="s">
        <v>147</v>
      </c>
      <c r="V250">
        <v>43</v>
      </c>
      <c r="W250">
        <v>41</v>
      </c>
      <c r="X250" s="5">
        <v>84</v>
      </c>
      <c r="Y250" s="5">
        <v>105</v>
      </c>
      <c r="Z250" s="33">
        <v>25</v>
      </c>
      <c r="AA250" s="5">
        <v>130</v>
      </c>
      <c r="AB250" s="9">
        <v>151</v>
      </c>
      <c r="AI250" t="s">
        <v>707</v>
      </c>
      <c r="AO250" t="s">
        <v>3141</v>
      </c>
      <c r="AQ250" s="24">
        <v>46084.522928240738</v>
      </c>
    </row>
    <row r="251" spans="2:43" x14ac:dyDescent="0.25">
      <c r="D251" s="21"/>
      <c r="E251" s="31">
        <v>71</v>
      </c>
      <c r="G251">
        <v>73397511964</v>
      </c>
      <c r="H251" t="s">
        <v>2819</v>
      </c>
      <c r="I251" s="5">
        <v>50</v>
      </c>
      <c r="J251" t="s">
        <v>1104</v>
      </c>
      <c r="K251" s="18">
        <v>42150</v>
      </c>
      <c r="L251" t="s">
        <v>2820</v>
      </c>
      <c r="M251" t="s">
        <v>2821</v>
      </c>
      <c r="N251">
        <v>36302117581</v>
      </c>
      <c r="O251" t="s">
        <v>2822</v>
      </c>
      <c r="P251" t="s">
        <v>2823</v>
      </c>
      <c r="Q251" t="s">
        <v>2822</v>
      </c>
      <c r="R251" s="34" t="s">
        <v>1121</v>
      </c>
      <c r="S251" t="s">
        <v>522</v>
      </c>
      <c r="T251" t="s">
        <v>523</v>
      </c>
      <c r="U251" t="s">
        <v>524</v>
      </c>
      <c r="V251">
        <v>34</v>
      </c>
      <c r="W251">
        <v>38</v>
      </c>
      <c r="X251" s="5">
        <v>72</v>
      </c>
      <c r="Y251" s="5">
        <v>90</v>
      </c>
      <c r="Z251" s="33">
        <v>24.5</v>
      </c>
      <c r="AA251" s="5">
        <v>114.5</v>
      </c>
      <c r="AB251" s="9">
        <v>164.5</v>
      </c>
      <c r="AI251" t="s">
        <v>707</v>
      </c>
      <c r="AJ251" t="s">
        <v>707</v>
      </c>
      <c r="AK251" t="s">
        <v>707</v>
      </c>
      <c r="AL251" t="s">
        <v>707</v>
      </c>
      <c r="AO251" t="s">
        <v>3142</v>
      </c>
      <c r="AQ251" s="24"/>
    </row>
    <row r="252" spans="2:43" x14ac:dyDescent="0.25">
      <c r="D252" s="21"/>
      <c r="E252">
        <v>219</v>
      </c>
      <c r="G252">
        <v>73388017809</v>
      </c>
      <c r="H252" t="s">
        <v>2824</v>
      </c>
      <c r="I252" s="5">
        <v>26</v>
      </c>
      <c r="J252" t="s">
        <v>1103</v>
      </c>
      <c r="K252" s="18">
        <v>42126</v>
      </c>
      <c r="L252" t="s">
        <v>1930</v>
      </c>
      <c r="N252">
        <v>36308068773</v>
      </c>
      <c r="O252" t="s">
        <v>1931</v>
      </c>
      <c r="P252" t="s">
        <v>1930</v>
      </c>
      <c r="Q252" t="s">
        <v>1931</v>
      </c>
      <c r="R252" s="34" t="s">
        <v>2375</v>
      </c>
      <c r="S252" t="s">
        <v>604</v>
      </c>
      <c r="T252" t="s">
        <v>605</v>
      </c>
      <c r="U252" t="s">
        <v>606</v>
      </c>
      <c r="V252">
        <v>34</v>
      </c>
      <c r="W252">
        <v>26</v>
      </c>
      <c r="X252" s="5">
        <v>60</v>
      </c>
      <c r="Y252" s="5">
        <v>75</v>
      </c>
      <c r="Z252" s="33">
        <v>25</v>
      </c>
      <c r="AA252" s="5">
        <v>100</v>
      </c>
      <c r="AB252" s="9">
        <v>126</v>
      </c>
      <c r="AL252" t="s">
        <v>707</v>
      </c>
      <c r="AO252" t="s">
        <v>3057</v>
      </c>
      <c r="AQ252" s="24"/>
    </row>
  </sheetData>
  <hyperlinks>
    <hyperlink ref="M16" r:id="rId1" xr:uid="{1EE56EF4-A6E8-4EE4-B1B3-4A064868B68B}"/>
    <hyperlink ref="M18" r:id="rId2" xr:uid="{FFF21ADA-504C-4B61-A06B-5C087FA99021}"/>
    <hyperlink ref="M58" r:id="rId3" xr:uid="{83F99C76-4457-49A4-923F-AA14B4CAC99B}"/>
    <hyperlink ref="M59" r:id="rId4" xr:uid="{57668C3F-916A-461E-B2A4-00E097B73489}"/>
    <hyperlink ref="M117" r:id="rId5" xr:uid="{8B51DA4E-7CA7-45BF-83D2-F9CAECE84C73}"/>
    <hyperlink ref="M161" r:id="rId6" xr:uid="{EB73BC9B-0A8F-45D9-B950-8BC37B0652DA}"/>
    <hyperlink ref="M213" r:id="rId7" xr:uid="{B1763AC6-40A7-4100-BEAB-9356F0CC76B2}"/>
    <hyperlink ref="M227" r:id="rId8" xr:uid="{BBE19BB9-507C-4F30-A05F-9557F81C85F3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7FE759-52B5-4FA8-8AAF-0062624D620C}">
          <x14:formula1>
            <xm:f>adatok!$F$4:$F$203</xm:f>
          </x14:formula1>
          <xm:sqref>S2:S252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E8DB-9B18-47B9-8670-5ACFABB947F4}">
  <sheetPr codeName="Munka22"/>
  <dimension ref="A1:D16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42578125" style="23" bestFit="1" customWidth="1"/>
    <col min="2" max="2" width="28.5703125" style="34" bestFit="1" customWidth="1"/>
    <col min="3" max="3" width="25.28515625" bestFit="1" customWidth="1"/>
    <col min="4" max="4" width="11.5703125" style="33" bestFit="1" customWidth="1"/>
  </cols>
  <sheetData>
    <row r="1" spans="1:4" s="26" customFormat="1" x14ac:dyDescent="0.25">
      <c r="A1" s="22" t="s">
        <v>1086</v>
      </c>
      <c r="B1" s="43" t="s">
        <v>3143</v>
      </c>
      <c r="C1" s="26" t="s">
        <v>1050</v>
      </c>
      <c r="D1" s="44" t="s">
        <v>692</v>
      </c>
    </row>
    <row r="2" spans="1:4" x14ac:dyDescent="0.25">
      <c r="A2" s="23">
        <v>1</v>
      </c>
      <c r="B2" s="34" t="s">
        <v>3312</v>
      </c>
      <c r="C2" t="s">
        <v>2089</v>
      </c>
      <c r="D2" s="33">
        <v>188.25</v>
      </c>
    </row>
    <row r="3" spans="1:4" x14ac:dyDescent="0.25">
      <c r="A3" s="23">
        <v>2</v>
      </c>
      <c r="B3" s="34" t="s">
        <v>3244</v>
      </c>
      <c r="C3" t="s">
        <v>1672</v>
      </c>
      <c r="D3" s="33">
        <v>187.5</v>
      </c>
    </row>
    <row r="4" spans="1:4" x14ac:dyDescent="0.25">
      <c r="A4" s="23">
        <v>3</v>
      </c>
      <c r="B4" s="34" t="s">
        <v>3247</v>
      </c>
      <c r="C4" t="s">
        <v>1684</v>
      </c>
      <c r="D4" s="33">
        <v>185</v>
      </c>
    </row>
    <row r="5" spans="1:4" x14ac:dyDescent="0.25">
      <c r="A5" s="23">
        <v>4</v>
      </c>
      <c r="B5" s="34" t="s">
        <v>3201</v>
      </c>
      <c r="C5" t="s">
        <v>1450</v>
      </c>
      <c r="D5" s="33">
        <v>182</v>
      </c>
    </row>
    <row r="6" spans="1:4" x14ac:dyDescent="0.25">
      <c r="A6" s="23">
        <v>5</v>
      </c>
      <c r="B6" s="34" t="s">
        <v>3211</v>
      </c>
      <c r="C6" t="s">
        <v>1497</v>
      </c>
      <c r="D6" s="33">
        <v>181.75</v>
      </c>
    </row>
    <row r="7" spans="1:4" x14ac:dyDescent="0.25">
      <c r="A7" s="23">
        <v>6</v>
      </c>
      <c r="B7" s="34" t="s">
        <v>3226</v>
      </c>
      <c r="C7" t="s">
        <v>1579</v>
      </c>
      <c r="D7" s="33">
        <v>180.5</v>
      </c>
    </row>
    <row r="8" spans="1:4" x14ac:dyDescent="0.25">
      <c r="A8" s="23">
        <v>7</v>
      </c>
      <c r="B8" s="34" t="s">
        <v>3326</v>
      </c>
      <c r="C8" t="s">
        <v>2162</v>
      </c>
      <c r="D8" s="33">
        <v>178.75</v>
      </c>
    </row>
    <row r="9" spans="1:4" x14ac:dyDescent="0.25">
      <c r="A9" s="23">
        <v>8</v>
      </c>
      <c r="B9" s="34" t="s">
        <v>3290</v>
      </c>
      <c r="C9" t="s">
        <v>1944</v>
      </c>
      <c r="D9" s="33">
        <v>178.25</v>
      </c>
    </row>
    <row r="10" spans="1:4" x14ac:dyDescent="0.25">
      <c r="A10" s="23">
        <v>9</v>
      </c>
      <c r="B10" s="34" t="s">
        <v>3332</v>
      </c>
      <c r="C10" t="s">
        <v>2187</v>
      </c>
      <c r="D10" s="33">
        <v>177.25</v>
      </c>
    </row>
    <row r="11" spans="1:4" x14ac:dyDescent="0.25">
      <c r="A11" s="23">
        <v>10</v>
      </c>
      <c r="B11" s="34" t="s">
        <v>3355</v>
      </c>
      <c r="C11" t="s">
        <v>2314</v>
      </c>
      <c r="D11" s="33">
        <v>175.75</v>
      </c>
    </row>
    <row r="12" spans="1:4" x14ac:dyDescent="0.25">
      <c r="A12" s="23">
        <v>11</v>
      </c>
      <c r="B12" s="34" t="s">
        <v>3309</v>
      </c>
      <c r="C12" t="s">
        <v>2075</v>
      </c>
      <c r="D12" s="33">
        <v>175.75</v>
      </c>
    </row>
    <row r="13" spans="1:4" x14ac:dyDescent="0.25">
      <c r="A13" s="23">
        <v>12</v>
      </c>
      <c r="B13" s="34" t="s">
        <v>3305</v>
      </c>
      <c r="C13" t="s">
        <v>2038</v>
      </c>
      <c r="D13" s="33">
        <v>175.5</v>
      </c>
    </row>
    <row r="14" spans="1:4" x14ac:dyDescent="0.25">
      <c r="A14" s="23">
        <v>13</v>
      </c>
      <c r="B14" s="34" t="s">
        <v>3203</v>
      </c>
      <c r="C14" t="s">
        <v>1459</v>
      </c>
      <c r="D14" s="33">
        <v>175.25</v>
      </c>
    </row>
    <row r="15" spans="1:4" x14ac:dyDescent="0.25">
      <c r="A15" s="23">
        <v>14</v>
      </c>
      <c r="B15" s="34" t="s">
        <v>3215</v>
      </c>
      <c r="C15" t="s">
        <v>1523</v>
      </c>
      <c r="D15" s="33">
        <v>175.25</v>
      </c>
    </row>
    <row r="16" spans="1:4" x14ac:dyDescent="0.25">
      <c r="A16" s="23">
        <v>15</v>
      </c>
      <c r="B16" s="34" t="s">
        <v>3328</v>
      </c>
      <c r="C16" t="s">
        <v>2171</v>
      </c>
      <c r="D16" s="33">
        <v>174.75</v>
      </c>
    </row>
    <row r="17" spans="1:4" x14ac:dyDescent="0.25">
      <c r="A17" s="23">
        <v>16</v>
      </c>
      <c r="B17" s="34" t="s">
        <v>3323</v>
      </c>
      <c r="C17" t="s">
        <v>2141</v>
      </c>
      <c r="D17" s="33">
        <v>174</v>
      </c>
    </row>
    <row r="18" spans="1:4" x14ac:dyDescent="0.25">
      <c r="A18" s="23">
        <v>17</v>
      </c>
      <c r="B18" s="34" t="s">
        <v>3282</v>
      </c>
      <c r="C18" t="s">
        <v>1906</v>
      </c>
      <c r="D18" s="33">
        <v>173.75</v>
      </c>
    </row>
    <row r="19" spans="1:4" x14ac:dyDescent="0.25">
      <c r="A19" s="23">
        <v>18</v>
      </c>
      <c r="B19" s="34" t="s">
        <v>3238</v>
      </c>
      <c r="C19" t="s">
        <v>1644</v>
      </c>
      <c r="D19" s="33">
        <v>173.75</v>
      </c>
    </row>
    <row r="20" spans="1:4" x14ac:dyDescent="0.25">
      <c r="A20" s="23">
        <v>19</v>
      </c>
      <c r="B20" s="34" t="s">
        <v>3356</v>
      </c>
      <c r="C20" t="s">
        <v>2319</v>
      </c>
      <c r="D20" s="33">
        <v>173.25</v>
      </c>
    </row>
    <row r="21" spans="1:4" x14ac:dyDescent="0.25">
      <c r="A21" s="23">
        <v>20</v>
      </c>
      <c r="B21" s="34" t="s">
        <v>3331</v>
      </c>
      <c r="C21" t="s">
        <v>2183</v>
      </c>
      <c r="D21" s="33">
        <v>173.25</v>
      </c>
    </row>
    <row r="22" spans="1:4" x14ac:dyDescent="0.25">
      <c r="A22" s="23">
        <v>21</v>
      </c>
      <c r="B22" s="34" t="s">
        <v>1988</v>
      </c>
      <c r="C22" t="s">
        <v>1984</v>
      </c>
      <c r="D22" s="33">
        <v>172.75</v>
      </c>
    </row>
    <row r="23" spans="1:4" x14ac:dyDescent="0.25">
      <c r="A23" s="23">
        <v>22</v>
      </c>
      <c r="B23" s="34" t="s">
        <v>3194</v>
      </c>
      <c r="C23" t="s">
        <v>1422</v>
      </c>
      <c r="D23" s="33">
        <v>172.5</v>
      </c>
    </row>
    <row r="24" spans="1:4" x14ac:dyDescent="0.25">
      <c r="A24" s="23">
        <v>23</v>
      </c>
      <c r="B24" s="34" t="s">
        <v>3284</v>
      </c>
      <c r="C24" t="s">
        <v>1915</v>
      </c>
      <c r="D24" s="33">
        <v>172.5</v>
      </c>
    </row>
    <row r="25" spans="1:4" x14ac:dyDescent="0.25">
      <c r="A25" s="23">
        <v>24</v>
      </c>
      <c r="B25" s="34" t="s">
        <v>3206</v>
      </c>
      <c r="C25" t="s">
        <v>1473</v>
      </c>
      <c r="D25" s="33">
        <v>172.5</v>
      </c>
    </row>
    <row r="26" spans="1:4" x14ac:dyDescent="0.25">
      <c r="A26" s="23">
        <v>25</v>
      </c>
      <c r="B26" s="34" t="s">
        <v>3259</v>
      </c>
      <c r="C26" t="s">
        <v>1766</v>
      </c>
      <c r="D26" s="33">
        <v>171.75</v>
      </c>
    </row>
    <row r="27" spans="1:4" x14ac:dyDescent="0.25">
      <c r="A27" s="23">
        <v>26</v>
      </c>
      <c r="B27" s="34" t="s">
        <v>3346</v>
      </c>
      <c r="C27" t="s">
        <v>2266</v>
      </c>
      <c r="D27" s="33">
        <v>171.75</v>
      </c>
    </row>
    <row r="28" spans="1:4" x14ac:dyDescent="0.25">
      <c r="A28" s="23">
        <v>27</v>
      </c>
      <c r="B28" s="34" t="s">
        <v>3347</v>
      </c>
      <c r="C28" t="s">
        <v>2276</v>
      </c>
      <c r="D28" s="33">
        <v>171.25</v>
      </c>
    </row>
    <row r="29" spans="1:4" x14ac:dyDescent="0.25">
      <c r="A29" s="23">
        <v>28</v>
      </c>
      <c r="B29" s="34" t="s">
        <v>3279</v>
      </c>
      <c r="C29" t="s">
        <v>1891</v>
      </c>
      <c r="D29" s="33">
        <v>171</v>
      </c>
    </row>
    <row r="30" spans="1:4" x14ac:dyDescent="0.25">
      <c r="A30" s="23">
        <v>29</v>
      </c>
      <c r="B30" s="34" t="s">
        <v>3223</v>
      </c>
      <c r="C30" t="s">
        <v>1554</v>
      </c>
      <c r="D30" s="33">
        <v>170.84</v>
      </c>
    </row>
    <row r="31" spans="1:4" x14ac:dyDescent="0.25">
      <c r="A31" s="23">
        <v>30</v>
      </c>
      <c r="B31" s="34" t="s">
        <v>3299</v>
      </c>
      <c r="C31" t="s">
        <v>1999</v>
      </c>
      <c r="D31" s="33">
        <v>170.5</v>
      </c>
    </row>
    <row r="32" spans="1:4" x14ac:dyDescent="0.25">
      <c r="A32" s="23">
        <v>31</v>
      </c>
      <c r="B32" s="34" t="s">
        <v>3270</v>
      </c>
      <c r="C32" t="s">
        <v>1835</v>
      </c>
      <c r="D32" s="33">
        <v>170</v>
      </c>
    </row>
    <row r="33" spans="1:4" x14ac:dyDescent="0.25">
      <c r="A33" s="23">
        <v>32</v>
      </c>
      <c r="B33" s="34" t="s">
        <v>3327</v>
      </c>
      <c r="C33" t="s">
        <v>2166</v>
      </c>
      <c r="D33" s="33">
        <v>169.75</v>
      </c>
    </row>
    <row r="34" spans="1:4" x14ac:dyDescent="0.25">
      <c r="A34" s="23">
        <v>33</v>
      </c>
      <c r="B34" s="34" t="s">
        <v>3333</v>
      </c>
      <c r="C34" t="s">
        <v>2197</v>
      </c>
      <c r="D34" s="33">
        <v>169.25</v>
      </c>
    </row>
    <row r="35" spans="1:4" x14ac:dyDescent="0.25">
      <c r="A35" s="23">
        <v>34</v>
      </c>
      <c r="B35" s="34" t="s">
        <v>3145</v>
      </c>
      <c r="C35" t="s">
        <v>1158</v>
      </c>
      <c r="D35" s="33">
        <v>168.75</v>
      </c>
    </row>
    <row r="36" spans="1:4" x14ac:dyDescent="0.25">
      <c r="A36" s="23">
        <v>35</v>
      </c>
      <c r="B36" s="34" t="s">
        <v>2048</v>
      </c>
      <c r="C36" t="s">
        <v>2043</v>
      </c>
      <c r="D36" s="33">
        <v>168</v>
      </c>
    </row>
    <row r="37" spans="1:4" x14ac:dyDescent="0.25">
      <c r="A37" s="23">
        <v>36</v>
      </c>
      <c r="B37" s="34" t="s">
        <v>3257</v>
      </c>
      <c r="C37" t="s">
        <v>3390</v>
      </c>
      <c r="D37" s="33">
        <v>168</v>
      </c>
    </row>
    <row r="38" spans="1:4" x14ac:dyDescent="0.25">
      <c r="A38" s="23">
        <v>37</v>
      </c>
      <c r="B38" s="34" t="s">
        <v>3144</v>
      </c>
      <c r="C38" t="s">
        <v>1154</v>
      </c>
      <c r="D38" s="33">
        <v>167.29</v>
      </c>
    </row>
    <row r="39" spans="1:4" x14ac:dyDescent="0.25">
      <c r="A39" s="23">
        <v>38</v>
      </c>
      <c r="B39" s="34" t="s">
        <v>3160</v>
      </c>
      <c r="C39" t="s">
        <v>1236</v>
      </c>
      <c r="D39" s="33">
        <v>166.75</v>
      </c>
    </row>
    <row r="40" spans="1:4" x14ac:dyDescent="0.25">
      <c r="A40" s="23">
        <v>39</v>
      </c>
      <c r="B40" s="34" t="s">
        <v>3168</v>
      </c>
      <c r="C40" t="s">
        <v>1276</v>
      </c>
      <c r="D40" s="33">
        <v>166.68</v>
      </c>
    </row>
    <row r="41" spans="1:4" x14ac:dyDescent="0.25">
      <c r="A41" s="23">
        <v>40</v>
      </c>
      <c r="B41" s="34" t="s">
        <v>3239</v>
      </c>
      <c r="C41" t="s">
        <v>1648</v>
      </c>
      <c r="D41" s="33">
        <v>166.5</v>
      </c>
    </row>
    <row r="42" spans="1:4" x14ac:dyDescent="0.25">
      <c r="A42" s="23">
        <v>41</v>
      </c>
      <c r="B42" s="34" t="s">
        <v>3188</v>
      </c>
      <c r="C42" t="s">
        <v>1385</v>
      </c>
      <c r="D42" s="33">
        <v>165.75</v>
      </c>
    </row>
    <row r="43" spans="1:4" x14ac:dyDescent="0.25">
      <c r="A43" s="23">
        <v>42</v>
      </c>
      <c r="B43" s="34" t="s">
        <v>3176</v>
      </c>
      <c r="C43" t="s">
        <v>1318</v>
      </c>
      <c r="D43" s="33">
        <v>165.25</v>
      </c>
    </row>
    <row r="44" spans="1:4" x14ac:dyDescent="0.25">
      <c r="A44" s="23">
        <v>43</v>
      </c>
      <c r="B44" s="34" t="s">
        <v>3169</v>
      </c>
      <c r="C44" t="s">
        <v>1282</v>
      </c>
      <c r="D44" s="33">
        <v>165</v>
      </c>
    </row>
    <row r="45" spans="1:4" x14ac:dyDescent="0.25">
      <c r="A45" s="23">
        <v>44</v>
      </c>
      <c r="B45" s="34" t="s">
        <v>3364</v>
      </c>
      <c r="C45" t="s">
        <v>2819</v>
      </c>
      <c r="D45" s="33">
        <v>164.5</v>
      </c>
    </row>
    <row r="46" spans="1:4" x14ac:dyDescent="0.25">
      <c r="A46" s="23">
        <v>45</v>
      </c>
      <c r="B46" s="34" t="s">
        <v>3339</v>
      </c>
      <c r="C46" t="s">
        <v>2228</v>
      </c>
      <c r="D46" s="33">
        <v>164.5</v>
      </c>
    </row>
    <row r="47" spans="1:4" x14ac:dyDescent="0.25">
      <c r="A47" s="23">
        <v>46</v>
      </c>
      <c r="B47" s="34" t="s">
        <v>3204</v>
      </c>
      <c r="C47" t="s">
        <v>795</v>
      </c>
      <c r="D47" s="33">
        <v>163.80000000000001</v>
      </c>
    </row>
    <row r="48" spans="1:4" x14ac:dyDescent="0.25">
      <c r="A48" s="23">
        <v>47</v>
      </c>
      <c r="B48" s="34" t="s">
        <v>3207</v>
      </c>
      <c r="C48" t="s">
        <v>1478</v>
      </c>
      <c r="D48" s="33">
        <v>163.75</v>
      </c>
    </row>
    <row r="49" spans="1:4" x14ac:dyDescent="0.25">
      <c r="A49" s="23">
        <v>48</v>
      </c>
      <c r="B49" s="34" t="s">
        <v>3170</v>
      </c>
      <c r="C49" t="s">
        <v>1288</v>
      </c>
      <c r="D49" s="33">
        <v>163.25</v>
      </c>
    </row>
    <row r="50" spans="1:4" x14ac:dyDescent="0.25">
      <c r="A50" s="23">
        <v>49</v>
      </c>
      <c r="B50" s="34" t="s">
        <v>3184</v>
      </c>
      <c r="C50" t="s">
        <v>1366</v>
      </c>
      <c r="D50" s="33">
        <v>162.75</v>
      </c>
    </row>
    <row r="51" spans="1:4" x14ac:dyDescent="0.25">
      <c r="A51" s="23">
        <v>50</v>
      </c>
      <c r="B51" s="34" t="s">
        <v>3155</v>
      </c>
      <c r="C51" t="s">
        <v>1205</v>
      </c>
      <c r="D51" s="33">
        <v>162.75</v>
      </c>
    </row>
    <row r="52" spans="1:4" x14ac:dyDescent="0.25">
      <c r="A52" s="23">
        <v>51</v>
      </c>
      <c r="B52" s="34" t="s">
        <v>3298</v>
      </c>
      <c r="C52" t="s">
        <v>1994</v>
      </c>
      <c r="D52" s="33">
        <v>162.75</v>
      </c>
    </row>
    <row r="53" spans="1:4" x14ac:dyDescent="0.25">
      <c r="A53" s="23">
        <v>52</v>
      </c>
      <c r="B53" s="34" t="s">
        <v>1811</v>
      </c>
      <c r="C53" t="s">
        <v>1806</v>
      </c>
      <c r="D53" s="33">
        <v>162.5</v>
      </c>
    </row>
    <row r="54" spans="1:4" x14ac:dyDescent="0.25">
      <c r="A54" s="23">
        <v>53</v>
      </c>
      <c r="B54" s="34" t="s">
        <v>3268</v>
      </c>
      <c r="C54" t="s">
        <v>1825</v>
      </c>
      <c r="D54" s="33">
        <v>162.25</v>
      </c>
    </row>
    <row r="55" spans="1:4" x14ac:dyDescent="0.25">
      <c r="A55" s="23">
        <v>54</v>
      </c>
      <c r="B55" s="34" t="s">
        <v>3186</v>
      </c>
      <c r="C55" t="s">
        <v>1377</v>
      </c>
      <c r="D55" s="33">
        <v>161.84</v>
      </c>
    </row>
    <row r="56" spans="1:4" x14ac:dyDescent="0.25">
      <c r="A56" s="23">
        <v>55</v>
      </c>
      <c r="B56" s="34" t="s">
        <v>3361</v>
      </c>
      <c r="C56" t="s">
        <v>2348</v>
      </c>
      <c r="D56" s="33">
        <v>161.5</v>
      </c>
    </row>
    <row r="57" spans="1:4" x14ac:dyDescent="0.25">
      <c r="A57" s="23">
        <v>56</v>
      </c>
      <c r="B57" s="34" t="s">
        <v>3359</v>
      </c>
      <c r="C57" t="s">
        <v>2339</v>
      </c>
      <c r="D57" s="33">
        <v>160.5</v>
      </c>
    </row>
    <row r="58" spans="1:4" x14ac:dyDescent="0.25">
      <c r="A58" s="23">
        <v>57</v>
      </c>
      <c r="B58" s="34" t="s">
        <v>3325</v>
      </c>
      <c r="C58" t="s">
        <v>2156</v>
      </c>
      <c r="D58" s="33">
        <v>160.5</v>
      </c>
    </row>
    <row r="59" spans="1:4" x14ac:dyDescent="0.25">
      <c r="A59" s="23">
        <v>58</v>
      </c>
      <c r="B59" s="34" t="s">
        <v>3349</v>
      </c>
      <c r="C59" t="s">
        <v>2286</v>
      </c>
      <c r="D59" s="33">
        <v>159.25</v>
      </c>
    </row>
    <row r="60" spans="1:4" x14ac:dyDescent="0.25">
      <c r="A60" s="23">
        <v>59</v>
      </c>
      <c r="B60" s="34" t="s">
        <v>3235</v>
      </c>
      <c r="C60" t="s">
        <v>1626</v>
      </c>
      <c r="D60" s="33">
        <v>159.25</v>
      </c>
    </row>
    <row r="61" spans="1:4" x14ac:dyDescent="0.25">
      <c r="A61" s="23">
        <v>60</v>
      </c>
      <c r="B61" s="34" t="s">
        <v>3322</v>
      </c>
      <c r="C61" t="s">
        <v>2136</v>
      </c>
      <c r="D61" s="33">
        <v>159.05000000000001</v>
      </c>
    </row>
    <row r="62" spans="1:4" x14ac:dyDescent="0.25">
      <c r="A62" s="23">
        <v>61</v>
      </c>
      <c r="B62" s="34" t="s">
        <v>3161</v>
      </c>
      <c r="C62" t="s">
        <v>1242</v>
      </c>
      <c r="D62" s="33">
        <v>159</v>
      </c>
    </row>
    <row r="63" spans="1:4" x14ac:dyDescent="0.25">
      <c r="A63" s="23">
        <v>62</v>
      </c>
      <c r="B63" s="34" t="s">
        <v>3219</v>
      </c>
      <c r="C63" t="s">
        <v>1540</v>
      </c>
      <c r="D63" s="33">
        <v>157.79</v>
      </c>
    </row>
    <row r="64" spans="1:4" x14ac:dyDescent="0.25">
      <c r="A64" s="23">
        <v>63</v>
      </c>
      <c r="B64" s="34" t="s">
        <v>3348</v>
      </c>
      <c r="C64" t="s">
        <v>2281</v>
      </c>
      <c r="D64" s="33">
        <v>157.25</v>
      </c>
    </row>
    <row r="65" spans="1:4" x14ac:dyDescent="0.25">
      <c r="A65" s="23">
        <v>64</v>
      </c>
      <c r="B65" s="34" t="s">
        <v>3341</v>
      </c>
      <c r="C65" t="s">
        <v>2239</v>
      </c>
      <c r="D65" s="33">
        <v>157</v>
      </c>
    </row>
    <row r="66" spans="1:4" x14ac:dyDescent="0.25">
      <c r="A66" s="23">
        <v>65</v>
      </c>
      <c r="B66" s="34" t="s">
        <v>3303</v>
      </c>
      <c r="C66" t="s">
        <v>2018</v>
      </c>
      <c r="D66" s="33">
        <v>156.75</v>
      </c>
    </row>
    <row r="67" spans="1:4" x14ac:dyDescent="0.25">
      <c r="A67" s="23">
        <v>66</v>
      </c>
      <c r="B67" s="34" t="s">
        <v>3343</v>
      </c>
      <c r="C67" t="s">
        <v>2248</v>
      </c>
      <c r="D67" s="33">
        <v>156</v>
      </c>
    </row>
    <row r="68" spans="1:4" x14ac:dyDescent="0.25">
      <c r="A68" s="23">
        <v>67</v>
      </c>
      <c r="B68" s="34" t="s">
        <v>3234</v>
      </c>
      <c r="C68" t="s">
        <v>1621</v>
      </c>
      <c r="D68" s="33">
        <v>155.75</v>
      </c>
    </row>
    <row r="69" spans="1:4" x14ac:dyDescent="0.25">
      <c r="A69" s="23">
        <v>68</v>
      </c>
      <c r="B69" s="34" t="s">
        <v>3191</v>
      </c>
      <c r="C69" t="s">
        <v>1408</v>
      </c>
      <c r="D69" s="33">
        <v>155.5</v>
      </c>
    </row>
    <row r="70" spans="1:4" x14ac:dyDescent="0.25">
      <c r="A70" s="23">
        <v>69</v>
      </c>
      <c r="B70" s="34" t="s">
        <v>3335</v>
      </c>
      <c r="C70" t="s">
        <v>2206</v>
      </c>
      <c r="D70" s="33">
        <v>155.5</v>
      </c>
    </row>
    <row r="71" spans="1:4" x14ac:dyDescent="0.25">
      <c r="A71" s="23">
        <v>70</v>
      </c>
      <c r="B71" s="34" t="s">
        <v>3311</v>
      </c>
      <c r="C71" t="s">
        <v>2085</v>
      </c>
      <c r="D71" s="33">
        <v>155</v>
      </c>
    </row>
    <row r="72" spans="1:4" x14ac:dyDescent="0.25">
      <c r="A72" s="23">
        <v>71</v>
      </c>
      <c r="B72" s="34" t="s">
        <v>3277</v>
      </c>
      <c r="C72" t="s">
        <v>1883</v>
      </c>
      <c r="D72" s="33">
        <v>154.75</v>
      </c>
    </row>
    <row r="73" spans="1:4" x14ac:dyDescent="0.25">
      <c r="A73" s="23">
        <v>72</v>
      </c>
      <c r="B73" s="34" t="s">
        <v>3338</v>
      </c>
      <c r="C73" t="s">
        <v>2222</v>
      </c>
      <c r="D73" s="33">
        <v>154.75</v>
      </c>
    </row>
    <row r="74" spans="1:4" x14ac:dyDescent="0.25">
      <c r="A74" s="23">
        <v>73</v>
      </c>
      <c r="B74" s="34" t="s">
        <v>3164</v>
      </c>
      <c r="C74" t="s">
        <v>1257</v>
      </c>
      <c r="D74" s="33">
        <v>154.54</v>
      </c>
    </row>
    <row r="75" spans="1:4" x14ac:dyDescent="0.25">
      <c r="A75" s="23">
        <v>74</v>
      </c>
      <c r="B75" s="34" t="s">
        <v>3315</v>
      </c>
      <c r="C75" t="s">
        <v>2103</v>
      </c>
      <c r="D75" s="33">
        <v>154.25</v>
      </c>
    </row>
    <row r="76" spans="1:4" x14ac:dyDescent="0.25">
      <c r="A76" s="23">
        <v>75</v>
      </c>
      <c r="B76" s="34" t="s">
        <v>3340</v>
      </c>
      <c r="C76" t="s">
        <v>2234</v>
      </c>
      <c r="D76" s="33">
        <v>154.25</v>
      </c>
    </row>
    <row r="77" spans="1:4" x14ac:dyDescent="0.25">
      <c r="A77" s="23">
        <v>76</v>
      </c>
      <c r="B77" s="34" t="s">
        <v>3362</v>
      </c>
      <c r="C77" t="s">
        <v>2354</v>
      </c>
      <c r="D77" s="33">
        <v>154.05000000000001</v>
      </c>
    </row>
    <row r="78" spans="1:4" x14ac:dyDescent="0.25">
      <c r="A78" s="23">
        <v>77</v>
      </c>
      <c r="B78" s="34" t="s">
        <v>3351</v>
      </c>
      <c r="C78" t="s">
        <v>2296</v>
      </c>
      <c r="D78" s="33">
        <v>154</v>
      </c>
    </row>
    <row r="79" spans="1:4" x14ac:dyDescent="0.25">
      <c r="A79" s="23">
        <v>78</v>
      </c>
      <c r="B79" s="34" t="s">
        <v>3314</v>
      </c>
      <c r="C79" t="s">
        <v>2098</v>
      </c>
      <c r="D79" s="33">
        <v>153.75</v>
      </c>
    </row>
    <row r="80" spans="1:4" x14ac:dyDescent="0.25">
      <c r="A80" s="23">
        <v>79</v>
      </c>
      <c r="B80" s="34" t="s">
        <v>3185</v>
      </c>
      <c r="C80" t="s">
        <v>1371</v>
      </c>
      <c r="D80" s="33">
        <v>153.75</v>
      </c>
    </row>
    <row r="81" spans="1:4" x14ac:dyDescent="0.25">
      <c r="A81" s="23">
        <v>80</v>
      </c>
      <c r="B81" s="34" t="s">
        <v>3174</v>
      </c>
      <c r="C81" t="s">
        <v>1307</v>
      </c>
      <c r="D81" s="33">
        <v>153.25</v>
      </c>
    </row>
    <row r="82" spans="1:4" x14ac:dyDescent="0.25">
      <c r="A82" s="23">
        <v>81</v>
      </c>
      <c r="B82" s="34" t="s">
        <v>3222</v>
      </c>
      <c r="C82" t="s">
        <v>1550</v>
      </c>
      <c r="D82" s="33">
        <v>153</v>
      </c>
    </row>
    <row r="83" spans="1:4" x14ac:dyDescent="0.25">
      <c r="A83" s="23">
        <v>82</v>
      </c>
      <c r="B83" s="34" t="s">
        <v>3307</v>
      </c>
      <c r="C83" t="s">
        <v>2059</v>
      </c>
      <c r="D83" s="33">
        <v>153</v>
      </c>
    </row>
    <row r="84" spans="1:4" x14ac:dyDescent="0.25">
      <c r="A84" s="23">
        <v>83</v>
      </c>
      <c r="B84" s="34" t="s">
        <v>3281</v>
      </c>
      <c r="C84" t="s">
        <v>1901</v>
      </c>
      <c r="D84" s="33">
        <v>152.5</v>
      </c>
    </row>
    <row r="85" spans="1:4" x14ac:dyDescent="0.25">
      <c r="A85" s="23">
        <v>84</v>
      </c>
      <c r="B85" s="34" t="s">
        <v>3354</v>
      </c>
      <c r="C85" t="s">
        <v>2310</v>
      </c>
      <c r="D85" s="33">
        <v>152.5</v>
      </c>
    </row>
    <row r="86" spans="1:4" x14ac:dyDescent="0.25">
      <c r="A86" s="23">
        <v>85</v>
      </c>
      <c r="B86" s="34" t="s">
        <v>3255</v>
      </c>
      <c r="C86" t="s">
        <v>1742</v>
      </c>
      <c r="D86" s="33">
        <v>152.25</v>
      </c>
    </row>
    <row r="87" spans="1:4" x14ac:dyDescent="0.25">
      <c r="A87" s="23">
        <v>86</v>
      </c>
      <c r="B87" s="34" t="s">
        <v>3260</v>
      </c>
      <c r="C87" t="s">
        <v>1771</v>
      </c>
      <c r="D87" s="33">
        <v>151.25</v>
      </c>
    </row>
    <row r="88" spans="1:4" x14ac:dyDescent="0.25">
      <c r="A88" s="23">
        <v>87</v>
      </c>
      <c r="B88" s="34" t="s">
        <v>3269</v>
      </c>
      <c r="C88" t="s">
        <v>1830</v>
      </c>
      <c r="D88" s="33">
        <v>150.75</v>
      </c>
    </row>
    <row r="89" spans="1:4" x14ac:dyDescent="0.25">
      <c r="A89" s="23">
        <v>88</v>
      </c>
      <c r="B89" s="34" t="s">
        <v>3267</v>
      </c>
      <c r="C89" t="s">
        <v>1820</v>
      </c>
      <c r="D89" s="33">
        <v>150.25</v>
      </c>
    </row>
    <row r="90" spans="1:4" x14ac:dyDescent="0.25">
      <c r="A90" s="23">
        <v>89</v>
      </c>
      <c r="B90" s="34" t="s">
        <v>2074</v>
      </c>
      <c r="C90" t="s">
        <v>2069</v>
      </c>
      <c r="D90" s="33">
        <v>150.12</v>
      </c>
    </row>
    <row r="91" spans="1:4" x14ac:dyDescent="0.25">
      <c r="A91" s="23">
        <v>90</v>
      </c>
      <c r="B91" s="34" t="s">
        <v>3217</v>
      </c>
      <c r="C91" t="s">
        <v>1532</v>
      </c>
      <c r="D91" s="33">
        <v>150</v>
      </c>
    </row>
    <row r="92" spans="1:4" x14ac:dyDescent="0.25">
      <c r="A92" s="23">
        <v>91</v>
      </c>
      <c r="B92" s="34" t="s">
        <v>3196</v>
      </c>
      <c r="C92" t="s">
        <v>1431</v>
      </c>
      <c r="D92" s="33">
        <v>149.75</v>
      </c>
    </row>
    <row r="93" spans="1:4" x14ac:dyDescent="0.25">
      <c r="A93" s="23">
        <v>92</v>
      </c>
      <c r="B93" s="34" t="s">
        <v>3324</v>
      </c>
      <c r="C93" t="s">
        <v>2152</v>
      </c>
      <c r="D93" s="33">
        <v>149.5</v>
      </c>
    </row>
    <row r="94" spans="1:4" x14ac:dyDescent="0.25">
      <c r="A94" s="23">
        <v>93</v>
      </c>
      <c r="B94" s="34" t="s">
        <v>3163</v>
      </c>
      <c r="C94" t="s">
        <v>1253</v>
      </c>
      <c r="D94" s="33">
        <v>148.79</v>
      </c>
    </row>
    <row r="95" spans="1:4" x14ac:dyDescent="0.25">
      <c r="A95" s="23">
        <v>94</v>
      </c>
      <c r="B95" s="34" t="s">
        <v>3242</v>
      </c>
      <c r="C95" t="s">
        <v>1661</v>
      </c>
      <c r="D95" s="33">
        <v>148.75</v>
      </c>
    </row>
    <row r="96" spans="1:4" x14ac:dyDescent="0.25">
      <c r="A96" s="23">
        <v>95</v>
      </c>
      <c r="B96" s="34" t="s">
        <v>3280</v>
      </c>
      <c r="C96" t="s">
        <v>1896</v>
      </c>
      <c r="D96" s="33">
        <v>148.75</v>
      </c>
    </row>
    <row r="97" spans="1:4" x14ac:dyDescent="0.25">
      <c r="A97" s="23">
        <v>96</v>
      </c>
      <c r="B97" s="34" t="s">
        <v>3180</v>
      </c>
      <c r="C97" t="s">
        <v>1346</v>
      </c>
      <c r="D97" s="33">
        <v>148.72999999999999</v>
      </c>
    </row>
    <row r="98" spans="1:4" x14ac:dyDescent="0.25">
      <c r="A98" s="23">
        <v>97</v>
      </c>
      <c r="B98" s="34" t="s">
        <v>3256</v>
      </c>
      <c r="C98" t="s">
        <v>1746</v>
      </c>
      <c r="D98" s="33">
        <v>148.68</v>
      </c>
    </row>
    <row r="99" spans="1:4" x14ac:dyDescent="0.25">
      <c r="A99" s="23">
        <v>98</v>
      </c>
      <c r="B99" s="34" t="s">
        <v>3344</v>
      </c>
      <c r="C99" t="s">
        <v>2254</v>
      </c>
      <c r="D99" s="33">
        <v>148.13999999999999</v>
      </c>
    </row>
    <row r="100" spans="1:4" x14ac:dyDescent="0.25">
      <c r="A100" s="23">
        <v>99</v>
      </c>
      <c r="B100" s="34" t="s">
        <v>3228</v>
      </c>
      <c r="C100" t="s">
        <v>3389</v>
      </c>
      <c r="D100" s="33">
        <v>148</v>
      </c>
    </row>
    <row r="101" spans="1:4" x14ac:dyDescent="0.25">
      <c r="A101" s="23">
        <v>100</v>
      </c>
      <c r="B101" s="34" t="s">
        <v>3342</v>
      </c>
      <c r="C101" t="s">
        <v>2244</v>
      </c>
      <c r="D101" s="33">
        <v>147.63</v>
      </c>
    </row>
    <row r="102" spans="1:4" x14ac:dyDescent="0.25">
      <c r="A102" s="23">
        <v>101</v>
      </c>
      <c r="B102" s="34" t="s">
        <v>3357</v>
      </c>
      <c r="C102" t="s">
        <v>2322</v>
      </c>
      <c r="D102" s="33">
        <v>147.09</v>
      </c>
    </row>
    <row r="103" spans="1:4" x14ac:dyDescent="0.25">
      <c r="A103" s="23">
        <v>102</v>
      </c>
      <c r="B103" s="34" t="s">
        <v>3285</v>
      </c>
      <c r="C103" t="s">
        <v>1920</v>
      </c>
      <c r="D103" s="33">
        <v>146.5</v>
      </c>
    </row>
    <row r="104" spans="1:4" x14ac:dyDescent="0.25">
      <c r="A104" s="23">
        <v>103</v>
      </c>
      <c r="B104" s="34" t="s">
        <v>3317</v>
      </c>
      <c r="C104" t="s">
        <v>2112</v>
      </c>
      <c r="D104" s="33">
        <v>145.93</v>
      </c>
    </row>
    <row r="105" spans="1:4" x14ac:dyDescent="0.25">
      <c r="A105" s="23">
        <v>104</v>
      </c>
      <c r="B105" s="34" t="s">
        <v>3216</v>
      </c>
      <c r="C105" t="s">
        <v>1527</v>
      </c>
      <c r="D105" s="33">
        <v>145.75</v>
      </c>
    </row>
    <row r="106" spans="1:4" x14ac:dyDescent="0.25">
      <c r="A106" s="23">
        <v>105</v>
      </c>
      <c r="B106" s="34" t="s">
        <v>3329</v>
      </c>
      <c r="C106" t="s">
        <v>2175</v>
      </c>
      <c r="D106" s="33">
        <v>145.5</v>
      </c>
    </row>
    <row r="107" spans="1:4" x14ac:dyDescent="0.25">
      <c r="A107" s="23">
        <v>106</v>
      </c>
      <c r="B107" s="34" t="s">
        <v>3297</v>
      </c>
      <c r="C107" t="s">
        <v>1989</v>
      </c>
      <c r="D107" s="33">
        <v>145.30000000000001</v>
      </c>
    </row>
    <row r="108" spans="1:4" x14ac:dyDescent="0.25">
      <c r="A108" s="23">
        <v>107</v>
      </c>
      <c r="B108" s="34" t="s">
        <v>3275</v>
      </c>
      <c r="C108" t="s">
        <v>1873</v>
      </c>
      <c r="D108" s="33">
        <v>145.02000000000001</v>
      </c>
    </row>
    <row r="109" spans="1:4" x14ac:dyDescent="0.25">
      <c r="A109" s="23">
        <v>108</v>
      </c>
      <c r="B109" s="34" t="s">
        <v>3263</v>
      </c>
      <c r="C109" t="s">
        <v>1790</v>
      </c>
      <c r="D109" s="33">
        <v>143.75</v>
      </c>
    </row>
    <row r="110" spans="1:4" x14ac:dyDescent="0.25">
      <c r="A110" s="23">
        <v>109</v>
      </c>
      <c r="B110" s="34" t="s">
        <v>3300</v>
      </c>
      <c r="C110" t="s">
        <v>2005</v>
      </c>
      <c r="D110" s="33">
        <v>143.75</v>
      </c>
    </row>
    <row r="111" spans="1:4" x14ac:dyDescent="0.25">
      <c r="A111" s="23">
        <v>110</v>
      </c>
      <c r="B111" s="34" t="s">
        <v>3240</v>
      </c>
      <c r="C111" t="s">
        <v>1653</v>
      </c>
      <c r="D111" s="33">
        <v>143.25</v>
      </c>
    </row>
    <row r="112" spans="1:4" x14ac:dyDescent="0.25">
      <c r="A112" s="23">
        <v>111</v>
      </c>
      <c r="B112" s="34" t="s">
        <v>3146</v>
      </c>
      <c r="C112" t="s">
        <v>1162</v>
      </c>
      <c r="D112" s="33">
        <v>142.30000000000001</v>
      </c>
    </row>
    <row r="113" spans="1:4" x14ac:dyDescent="0.25">
      <c r="A113" s="23">
        <v>112</v>
      </c>
      <c r="B113" s="34" t="s">
        <v>3248</v>
      </c>
      <c r="C113" t="s">
        <v>1689</v>
      </c>
      <c r="D113" s="33">
        <v>141.5</v>
      </c>
    </row>
    <row r="114" spans="1:4" x14ac:dyDescent="0.25">
      <c r="A114" s="23">
        <v>113</v>
      </c>
      <c r="B114" s="34" t="s">
        <v>3199</v>
      </c>
      <c r="C114" t="s">
        <v>2714</v>
      </c>
      <c r="D114" s="33">
        <v>141.29</v>
      </c>
    </row>
    <row r="115" spans="1:4" x14ac:dyDescent="0.25">
      <c r="A115" s="23">
        <v>114</v>
      </c>
      <c r="B115" s="34" t="s">
        <v>3208</v>
      </c>
      <c r="C115" t="s">
        <v>1483</v>
      </c>
      <c r="D115" s="33">
        <v>141.25</v>
      </c>
    </row>
    <row r="116" spans="1:4" x14ac:dyDescent="0.25">
      <c r="A116" s="23">
        <v>115</v>
      </c>
      <c r="B116" s="34" t="s">
        <v>3220</v>
      </c>
      <c r="C116" t="s">
        <v>3387</v>
      </c>
      <c r="D116" s="33">
        <v>140.30000000000001</v>
      </c>
    </row>
    <row r="117" spans="1:4" x14ac:dyDescent="0.25">
      <c r="A117" s="23">
        <v>116</v>
      </c>
      <c r="B117" s="34" t="s">
        <v>3266</v>
      </c>
      <c r="C117" t="s">
        <v>1816</v>
      </c>
      <c r="D117" s="33">
        <v>140.25</v>
      </c>
    </row>
    <row r="118" spans="1:4" x14ac:dyDescent="0.25">
      <c r="A118" s="23">
        <v>117</v>
      </c>
      <c r="B118" s="34" t="s">
        <v>3171</v>
      </c>
      <c r="C118" t="s">
        <v>1293</v>
      </c>
      <c r="D118" s="33">
        <v>140.25</v>
      </c>
    </row>
    <row r="119" spans="1:4" x14ac:dyDescent="0.25">
      <c r="A119" s="23">
        <v>118</v>
      </c>
      <c r="B119" s="34" t="s">
        <v>3278</v>
      </c>
      <c r="C119" t="s">
        <v>1887</v>
      </c>
      <c r="D119" s="33">
        <v>140</v>
      </c>
    </row>
    <row r="120" spans="1:4" x14ac:dyDescent="0.25">
      <c r="A120" s="23">
        <v>119</v>
      </c>
      <c r="B120" s="34" t="s">
        <v>3337</v>
      </c>
      <c r="C120" t="s">
        <v>2216</v>
      </c>
      <c r="D120" s="33">
        <v>139</v>
      </c>
    </row>
    <row r="121" spans="1:4" x14ac:dyDescent="0.25">
      <c r="A121" s="23">
        <v>120</v>
      </c>
      <c r="B121" s="34" t="s">
        <v>3360</v>
      </c>
      <c r="C121" t="s">
        <v>2344</v>
      </c>
      <c r="D121" s="33">
        <v>139</v>
      </c>
    </row>
    <row r="122" spans="1:4" x14ac:dyDescent="0.25">
      <c r="A122" s="23">
        <v>121</v>
      </c>
      <c r="B122" s="34" t="s">
        <v>3192</v>
      </c>
      <c r="C122" t="s">
        <v>1412</v>
      </c>
      <c r="D122" s="33">
        <v>138</v>
      </c>
    </row>
    <row r="123" spans="1:4" x14ac:dyDescent="0.25">
      <c r="A123" s="23">
        <v>122</v>
      </c>
      <c r="B123" s="34" t="s">
        <v>3264</v>
      </c>
      <c r="C123" t="s">
        <v>2732</v>
      </c>
      <c r="D123" s="33">
        <v>137.5</v>
      </c>
    </row>
    <row r="124" spans="1:4" x14ac:dyDescent="0.25">
      <c r="A124" s="23">
        <v>123</v>
      </c>
      <c r="B124" s="34" t="s">
        <v>3189</v>
      </c>
      <c r="C124" t="s">
        <v>1391</v>
      </c>
      <c r="D124" s="33">
        <v>137.04</v>
      </c>
    </row>
    <row r="125" spans="1:4" x14ac:dyDescent="0.25">
      <c r="A125" s="23">
        <v>124</v>
      </c>
      <c r="B125" s="34" t="s">
        <v>3159</v>
      </c>
      <c r="C125" t="s">
        <v>1224</v>
      </c>
      <c r="D125" s="33">
        <v>136.75</v>
      </c>
    </row>
    <row r="126" spans="1:4" x14ac:dyDescent="0.25">
      <c r="A126" s="23">
        <v>125</v>
      </c>
      <c r="B126" s="34" t="s">
        <v>3245</v>
      </c>
      <c r="C126" t="s">
        <v>1676</v>
      </c>
      <c r="D126" s="33">
        <v>136</v>
      </c>
    </row>
    <row r="127" spans="1:4" x14ac:dyDescent="0.25">
      <c r="A127" s="23">
        <v>126</v>
      </c>
      <c r="B127" s="34" t="s">
        <v>3221</v>
      </c>
      <c r="C127" t="s">
        <v>1548</v>
      </c>
      <c r="D127" s="33">
        <v>135.5</v>
      </c>
    </row>
    <row r="128" spans="1:4" x14ac:dyDescent="0.25">
      <c r="A128" s="23">
        <v>127</v>
      </c>
      <c r="B128" s="34" t="s">
        <v>3177</v>
      </c>
      <c r="C128" t="s">
        <v>1325</v>
      </c>
      <c r="D128" s="33">
        <v>135.5</v>
      </c>
    </row>
    <row r="129" spans="1:4" x14ac:dyDescent="0.25">
      <c r="A129" s="23">
        <v>128</v>
      </c>
      <c r="B129" s="34" t="s">
        <v>3291</v>
      </c>
      <c r="C129" t="s">
        <v>1950</v>
      </c>
      <c r="D129" s="33">
        <v>135.5</v>
      </c>
    </row>
    <row r="130" spans="1:4" x14ac:dyDescent="0.25">
      <c r="A130" s="23">
        <v>129</v>
      </c>
      <c r="B130" s="34" t="s">
        <v>3179</v>
      </c>
      <c r="C130" t="s">
        <v>1336</v>
      </c>
      <c r="D130" s="33">
        <v>135.34</v>
      </c>
    </row>
    <row r="131" spans="1:4" x14ac:dyDescent="0.25">
      <c r="A131" s="23">
        <v>130</v>
      </c>
      <c r="B131" s="34" t="s">
        <v>3283</v>
      </c>
      <c r="C131" t="s">
        <v>1910</v>
      </c>
      <c r="D131" s="33">
        <v>135</v>
      </c>
    </row>
    <row r="132" spans="1:4" x14ac:dyDescent="0.25">
      <c r="A132" s="23">
        <v>131</v>
      </c>
      <c r="B132" s="34" t="s">
        <v>3166</v>
      </c>
      <c r="C132" t="s">
        <v>1267</v>
      </c>
      <c r="D132" s="33">
        <v>134.75</v>
      </c>
    </row>
    <row r="133" spans="1:4" x14ac:dyDescent="0.25">
      <c r="A133" s="23">
        <v>132</v>
      </c>
      <c r="B133" s="34" t="s">
        <v>3236</v>
      </c>
      <c r="C133" t="s">
        <v>1635</v>
      </c>
      <c r="D133" s="33">
        <v>134.75</v>
      </c>
    </row>
    <row r="134" spans="1:4" x14ac:dyDescent="0.25">
      <c r="A134" s="23">
        <v>133</v>
      </c>
      <c r="B134" s="34" t="s">
        <v>3261</v>
      </c>
      <c r="C134" t="s">
        <v>1776</v>
      </c>
      <c r="D134" s="33">
        <v>134.38</v>
      </c>
    </row>
    <row r="135" spans="1:4" x14ac:dyDescent="0.25">
      <c r="A135" s="23">
        <v>134</v>
      </c>
      <c r="B135" s="34" t="s">
        <v>3294</v>
      </c>
      <c r="C135" t="s">
        <v>1968</v>
      </c>
      <c r="D135" s="33">
        <v>134.25</v>
      </c>
    </row>
    <row r="136" spans="1:4" x14ac:dyDescent="0.25">
      <c r="A136" s="23">
        <v>135</v>
      </c>
      <c r="B136" s="34" t="s">
        <v>3272</v>
      </c>
      <c r="C136" t="s">
        <v>1846</v>
      </c>
      <c r="D136" s="33">
        <v>133.94</v>
      </c>
    </row>
    <row r="137" spans="1:4" x14ac:dyDescent="0.25">
      <c r="A137" s="23">
        <v>136</v>
      </c>
      <c r="B137" s="34" t="s">
        <v>3316</v>
      </c>
      <c r="C137" t="s">
        <v>2108</v>
      </c>
      <c r="D137" s="33">
        <v>133</v>
      </c>
    </row>
    <row r="138" spans="1:4" x14ac:dyDescent="0.25">
      <c r="A138" s="23">
        <v>137</v>
      </c>
      <c r="B138" s="34" t="s">
        <v>3148</v>
      </c>
      <c r="C138" t="s">
        <v>1174</v>
      </c>
      <c r="D138" s="33">
        <v>133</v>
      </c>
    </row>
    <row r="139" spans="1:4" x14ac:dyDescent="0.25">
      <c r="A139" s="23">
        <v>138</v>
      </c>
      <c r="B139" s="34" t="s">
        <v>3251</v>
      </c>
      <c r="C139" t="s">
        <v>1711</v>
      </c>
      <c r="D139" s="33">
        <v>129.25</v>
      </c>
    </row>
    <row r="140" spans="1:4" x14ac:dyDescent="0.25">
      <c r="A140" s="23">
        <v>139</v>
      </c>
      <c r="B140" s="34" t="s">
        <v>3175</v>
      </c>
      <c r="C140" t="s">
        <v>2694</v>
      </c>
      <c r="D140" s="33">
        <v>128.5</v>
      </c>
    </row>
    <row r="141" spans="1:4" x14ac:dyDescent="0.25">
      <c r="A141" s="23">
        <v>140</v>
      </c>
      <c r="B141" s="34" t="s">
        <v>3262</v>
      </c>
      <c r="C141" t="s">
        <v>1785</v>
      </c>
      <c r="D141" s="33">
        <v>126.8</v>
      </c>
    </row>
    <row r="142" spans="1:4" x14ac:dyDescent="0.25">
      <c r="A142" s="23">
        <v>141</v>
      </c>
      <c r="B142" s="34" t="s">
        <v>3243</v>
      </c>
      <c r="C142" t="s">
        <v>1667</v>
      </c>
      <c r="D142" s="33">
        <v>126.05</v>
      </c>
    </row>
    <row r="143" spans="1:4" x14ac:dyDescent="0.25">
      <c r="A143" s="23">
        <v>142</v>
      </c>
      <c r="B143" s="34" t="s">
        <v>3365</v>
      </c>
      <c r="C143" t="s">
        <v>2824</v>
      </c>
      <c r="D143" s="33">
        <v>126</v>
      </c>
    </row>
    <row r="144" spans="1:4" x14ac:dyDescent="0.25">
      <c r="A144" s="23">
        <v>143</v>
      </c>
      <c r="B144" s="34" t="s">
        <v>3157</v>
      </c>
      <c r="C144" t="s">
        <v>1215</v>
      </c>
      <c r="D144" s="33">
        <v>125.55</v>
      </c>
    </row>
    <row r="145" spans="1:4" x14ac:dyDescent="0.25">
      <c r="A145" s="23">
        <v>144</v>
      </c>
      <c r="B145" s="34" t="s">
        <v>3246</v>
      </c>
      <c r="C145" t="s">
        <v>1680</v>
      </c>
      <c r="D145" s="33">
        <v>125.25</v>
      </c>
    </row>
    <row r="146" spans="1:4" x14ac:dyDescent="0.25">
      <c r="A146" s="23">
        <v>145</v>
      </c>
      <c r="B146" s="34" t="s">
        <v>3254</v>
      </c>
      <c r="C146" t="s">
        <v>1738</v>
      </c>
      <c r="D146" s="33">
        <v>125.25</v>
      </c>
    </row>
    <row r="147" spans="1:4" x14ac:dyDescent="0.25">
      <c r="A147" s="23">
        <v>146</v>
      </c>
      <c r="B147" s="34" t="s">
        <v>3302</v>
      </c>
      <c r="C147" t="s">
        <v>2013</v>
      </c>
      <c r="D147" s="33">
        <v>123.68</v>
      </c>
    </row>
    <row r="148" spans="1:4" x14ac:dyDescent="0.25">
      <c r="A148" s="23">
        <v>147</v>
      </c>
      <c r="B148" s="34" t="s">
        <v>3190</v>
      </c>
      <c r="C148" t="s">
        <v>1396</v>
      </c>
      <c r="D148" s="33">
        <v>121.05</v>
      </c>
    </row>
    <row r="149" spans="1:4" x14ac:dyDescent="0.25">
      <c r="A149" s="23">
        <v>148</v>
      </c>
      <c r="B149" s="34" t="s">
        <v>3210</v>
      </c>
      <c r="C149" t="s">
        <v>1493</v>
      </c>
      <c r="D149" s="33">
        <v>118.25</v>
      </c>
    </row>
    <row r="150" spans="1:4" x14ac:dyDescent="0.25">
      <c r="A150" s="23">
        <v>149</v>
      </c>
      <c r="B150" s="34" t="s">
        <v>3213</v>
      </c>
      <c r="C150" t="s">
        <v>1509</v>
      </c>
      <c r="D150" s="33">
        <v>118.05</v>
      </c>
    </row>
    <row r="151" spans="1:4" x14ac:dyDescent="0.25">
      <c r="A151" s="23">
        <v>150</v>
      </c>
      <c r="B151" s="34" t="s">
        <v>3230</v>
      </c>
      <c r="C151" t="s">
        <v>1600</v>
      </c>
      <c r="D151" s="33">
        <v>117</v>
      </c>
    </row>
    <row r="152" spans="1:4" x14ac:dyDescent="0.25">
      <c r="A152" s="23">
        <v>151</v>
      </c>
      <c r="B152" s="34" t="s">
        <v>3202</v>
      </c>
      <c r="C152" t="s">
        <v>1453</v>
      </c>
      <c r="D152" s="33">
        <v>110</v>
      </c>
    </row>
    <row r="153" spans="1:4" x14ac:dyDescent="0.25">
      <c r="A153" s="23">
        <v>152</v>
      </c>
      <c r="B153" s="34" t="s">
        <v>3165</v>
      </c>
      <c r="C153" t="s">
        <v>1262</v>
      </c>
      <c r="D153" s="33">
        <v>107.63</v>
      </c>
    </row>
    <row r="154" spans="1:4" x14ac:dyDescent="0.25">
      <c r="A154" s="23">
        <v>153</v>
      </c>
      <c r="B154" s="34" t="s">
        <v>3200</v>
      </c>
      <c r="C154" t="s">
        <v>1444</v>
      </c>
      <c r="D154" s="33">
        <v>106.75</v>
      </c>
    </row>
    <row r="155" spans="1:4" x14ac:dyDescent="0.25">
      <c r="B155" s="34" t="s">
        <v>3366</v>
      </c>
      <c r="C155" t="s">
        <v>1341</v>
      </c>
      <c r="D155" s="33" t="s">
        <v>3386</v>
      </c>
    </row>
    <row r="156" spans="1:4" x14ac:dyDescent="0.25">
      <c r="B156" s="34" t="s">
        <v>3369</v>
      </c>
      <c r="C156" t="s">
        <v>1519</v>
      </c>
      <c r="D156" s="33" t="s">
        <v>3386</v>
      </c>
    </row>
    <row r="157" spans="1:4" x14ac:dyDescent="0.25">
      <c r="B157" s="34" t="s">
        <v>3371</v>
      </c>
      <c r="C157" t="s">
        <v>1630</v>
      </c>
      <c r="D157" s="33" t="s">
        <v>3386</v>
      </c>
    </row>
    <row r="158" spans="1:4" x14ac:dyDescent="0.25">
      <c r="B158" s="34" t="s">
        <v>3375</v>
      </c>
      <c r="C158" t="s">
        <v>1780</v>
      </c>
      <c r="D158" s="33" t="s">
        <v>3386</v>
      </c>
    </row>
    <row r="159" spans="1:4" x14ac:dyDescent="0.25">
      <c r="B159" s="34" t="s">
        <v>3376</v>
      </c>
      <c r="C159" t="s">
        <v>1795</v>
      </c>
      <c r="D159" s="33" t="s">
        <v>3386</v>
      </c>
    </row>
    <row r="160" spans="1:4" x14ac:dyDescent="0.25">
      <c r="B160" s="34" t="s">
        <v>3377</v>
      </c>
      <c r="C160" t="s">
        <v>1851</v>
      </c>
      <c r="D160" s="33" t="s">
        <v>3386</v>
      </c>
    </row>
    <row r="161" spans="2:4" x14ac:dyDescent="0.25">
      <c r="B161" s="34" t="s">
        <v>3379</v>
      </c>
      <c r="C161" t="s">
        <v>1963</v>
      </c>
      <c r="D161" s="33" t="s">
        <v>3386</v>
      </c>
    </row>
    <row r="162" spans="2:4" x14ac:dyDescent="0.25">
      <c r="B162" s="34" t="s">
        <v>3380</v>
      </c>
      <c r="C162" t="s">
        <v>2029</v>
      </c>
      <c r="D162" s="33" t="s">
        <v>3386</v>
      </c>
    </row>
    <row r="163" spans="2:4" x14ac:dyDescent="0.25">
      <c r="B163" s="34" t="s">
        <v>3381</v>
      </c>
      <c r="C163" t="s">
        <v>2033</v>
      </c>
      <c r="D163" s="33" t="s">
        <v>3386</v>
      </c>
    </row>
    <row r="164" spans="2:4" x14ac:dyDescent="0.25">
      <c r="B164" s="34" t="s">
        <v>3384</v>
      </c>
      <c r="C164" t="s">
        <v>2192</v>
      </c>
      <c r="D164" s="33" t="s">
        <v>3386</v>
      </c>
    </row>
  </sheetData>
  <sortState xmlns:xlrd2="http://schemas.microsoft.com/office/spreadsheetml/2017/richdata2" ref="A2:D154">
    <sortCondition ref="B2:B15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EFFC9-BFB3-4A13-917B-E51C8167BC91}">
  <sheetPr codeName="Munka21"/>
  <dimension ref="A1:D17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42578125" style="23" bestFit="1" customWidth="1"/>
    <col min="2" max="2" width="28.5703125" style="34" bestFit="1" customWidth="1"/>
    <col min="3" max="3" width="25.28515625" bestFit="1" customWidth="1"/>
    <col min="4" max="4" width="11.5703125" style="33" bestFit="1" customWidth="1"/>
  </cols>
  <sheetData>
    <row r="1" spans="1:4" s="26" customFormat="1" x14ac:dyDescent="0.25">
      <c r="A1" s="22" t="s">
        <v>1086</v>
      </c>
      <c r="B1" s="43" t="s">
        <v>3143</v>
      </c>
      <c r="C1" s="26" t="s">
        <v>1050</v>
      </c>
      <c r="D1" s="44" t="s">
        <v>692</v>
      </c>
    </row>
    <row r="2" spans="1:4" x14ac:dyDescent="0.25">
      <c r="A2" s="23">
        <v>1</v>
      </c>
      <c r="B2" s="34" t="s">
        <v>3312</v>
      </c>
      <c r="C2" t="s">
        <v>2089</v>
      </c>
      <c r="D2" s="33">
        <v>188.25</v>
      </c>
    </row>
    <row r="3" spans="1:4" x14ac:dyDescent="0.25">
      <c r="A3" s="23">
        <v>2</v>
      </c>
      <c r="B3" s="34" t="s">
        <v>3244</v>
      </c>
      <c r="C3" t="s">
        <v>1672</v>
      </c>
      <c r="D3" s="33">
        <v>187.5</v>
      </c>
    </row>
    <row r="4" spans="1:4" x14ac:dyDescent="0.25">
      <c r="A4" s="23">
        <v>3</v>
      </c>
      <c r="B4" s="34" t="s">
        <v>3247</v>
      </c>
      <c r="C4" t="s">
        <v>1684</v>
      </c>
      <c r="D4" s="33">
        <v>185</v>
      </c>
    </row>
    <row r="5" spans="1:4" x14ac:dyDescent="0.25">
      <c r="A5" s="23">
        <v>4</v>
      </c>
      <c r="B5" s="34" t="s">
        <v>3201</v>
      </c>
      <c r="C5" t="s">
        <v>1450</v>
      </c>
      <c r="D5" s="33">
        <v>182</v>
      </c>
    </row>
    <row r="6" spans="1:4" x14ac:dyDescent="0.25">
      <c r="A6" s="23">
        <v>5</v>
      </c>
      <c r="B6" s="34" t="s">
        <v>3211</v>
      </c>
      <c r="C6" t="s">
        <v>1497</v>
      </c>
      <c r="D6" s="33">
        <v>181.75</v>
      </c>
    </row>
    <row r="7" spans="1:4" x14ac:dyDescent="0.25">
      <c r="A7" s="23">
        <v>6</v>
      </c>
      <c r="B7" s="34" t="s">
        <v>3226</v>
      </c>
      <c r="C7" t="s">
        <v>1579</v>
      </c>
      <c r="D7" s="33">
        <v>180.5</v>
      </c>
    </row>
    <row r="8" spans="1:4" x14ac:dyDescent="0.25">
      <c r="A8" s="23">
        <v>7</v>
      </c>
      <c r="B8" s="34" t="s">
        <v>3326</v>
      </c>
      <c r="C8" t="s">
        <v>2162</v>
      </c>
      <c r="D8" s="33">
        <v>178.75</v>
      </c>
    </row>
    <row r="9" spans="1:4" x14ac:dyDescent="0.25">
      <c r="A9" s="23">
        <v>8</v>
      </c>
      <c r="B9" s="34" t="s">
        <v>3290</v>
      </c>
      <c r="C9" t="s">
        <v>1944</v>
      </c>
      <c r="D9" s="33">
        <v>178.25</v>
      </c>
    </row>
    <row r="10" spans="1:4" x14ac:dyDescent="0.25">
      <c r="A10" s="23">
        <v>9</v>
      </c>
      <c r="B10" s="34" t="s">
        <v>3332</v>
      </c>
      <c r="C10" t="s">
        <v>2187</v>
      </c>
      <c r="D10" s="33">
        <v>177.25</v>
      </c>
    </row>
    <row r="11" spans="1:4" x14ac:dyDescent="0.25">
      <c r="A11" s="23">
        <v>10</v>
      </c>
      <c r="B11" s="34" t="s">
        <v>3355</v>
      </c>
      <c r="C11" t="s">
        <v>2314</v>
      </c>
      <c r="D11" s="33">
        <v>175.75</v>
      </c>
    </row>
    <row r="12" spans="1:4" x14ac:dyDescent="0.25">
      <c r="A12" s="23">
        <v>11</v>
      </c>
      <c r="B12" s="34" t="s">
        <v>3309</v>
      </c>
      <c r="C12" t="s">
        <v>2075</v>
      </c>
      <c r="D12" s="33">
        <v>175.75</v>
      </c>
    </row>
    <row r="13" spans="1:4" x14ac:dyDescent="0.25">
      <c r="A13" s="23">
        <v>12</v>
      </c>
      <c r="B13" s="34" t="s">
        <v>3305</v>
      </c>
      <c r="C13" t="s">
        <v>2038</v>
      </c>
      <c r="D13" s="33">
        <v>175.5</v>
      </c>
    </row>
    <row r="14" spans="1:4" x14ac:dyDescent="0.25">
      <c r="A14" s="23">
        <v>13</v>
      </c>
      <c r="B14" s="34" t="s">
        <v>3195</v>
      </c>
      <c r="C14" t="s">
        <v>1427</v>
      </c>
      <c r="D14" s="33">
        <v>175.25</v>
      </c>
    </row>
    <row r="15" spans="1:4" x14ac:dyDescent="0.25">
      <c r="A15" s="23">
        <v>14</v>
      </c>
      <c r="B15" s="34" t="s">
        <v>3203</v>
      </c>
      <c r="C15" t="s">
        <v>1459</v>
      </c>
      <c r="D15" s="33">
        <v>175.25</v>
      </c>
    </row>
    <row r="16" spans="1:4" x14ac:dyDescent="0.25">
      <c r="A16" s="23">
        <v>15</v>
      </c>
      <c r="B16" s="34" t="s">
        <v>3271</v>
      </c>
      <c r="C16" t="s">
        <v>1840</v>
      </c>
      <c r="D16" s="33">
        <v>175.25</v>
      </c>
    </row>
    <row r="17" spans="1:4" x14ac:dyDescent="0.25">
      <c r="A17" s="23">
        <v>16</v>
      </c>
      <c r="B17" s="34" t="s">
        <v>3215</v>
      </c>
      <c r="C17" t="s">
        <v>1523</v>
      </c>
      <c r="D17" s="33">
        <v>175.25</v>
      </c>
    </row>
    <row r="18" spans="1:4" x14ac:dyDescent="0.25">
      <c r="A18" s="23">
        <v>17</v>
      </c>
      <c r="B18" s="34" t="s">
        <v>3183</v>
      </c>
      <c r="C18" t="s">
        <v>2701</v>
      </c>
      <c r="D18" s="33">
        <v>174.5</v>
      </c>
    </row>
    <row r="19" spans="1:4" x14ac:dyDescent="0.25">
      <c r="A19" s="23">
        <v>18</v>
      </c>
      <c r="B19" s="34" t="s">
        <v>3323</v>
      </c>
      <c r="C19" t="s">
        <v>2141</v>
      </c>
      <c r="D19" s="33">
        <v>174</v>
      </c>
    </row>
    <row r="20" spans="1:4" x14ac:dyDescent="0.25">
      <c r="A20" s="23">
        <v>19</v>
      </c>
      <c r="B20" s="34" t="s">
        <v>3282</v>
      </c>
      <c r="C20" t="s">
        <v>1906</v>
      </c>
      <c r="D20" s="33">
        <v>173.75</v>
      </c>
    </row>
    <row r="21" spans="1:4" x14ac:dyDescent="0.25">
      <c r="A21" s="23">
        <v>20</v>
      </c>
      <c r="B21" s="34" t="s">
        <v>3238</v>
      </c>
      <c r="C21" t="s">
        <v>1644</v>
      </c>
      <c r="D21" s="33">
        <v>173.75</v>
      </c>
    </row>
    <row r="22" spans="1:4" x14ac:dyDescent="0.25">
      <c r="A22" s="23">
        <v>21</v>
      </c>
      <c r="B22" s="34" t="s">
        <v>3304</v>
      </c>
      <c r="C22" t="s">
        <v>2023</v>
      </c>
      <c r="D22" s="33">
        <v>173.29</v>
      </c>
    </row>
    <row r="23" spans="1:4" x14ac:dyDescent="0.25">
      <c r="A23" s="23">
        <v>22</v>
      </c>
      <c r="B23" s="34" t="s">
        <v>3356</v>
      </c>
      <c r="C23" t="s">
        <v>2319</v>
      </c>
      <c r="D23" s="33">
        <v>173.25</v>
      </c>
    </row>
    <row r="24" spans="1:4" x14ac:dyDescent="0.25">
      <c r="A24" s="23">
        <v>23</v>
      </c>
      <c r="B24" s="34" t="s">
        <v>3331</v>
      </c>
      <c r="C24" t="s">
        <v>2183</v>
      </c>
      <c r="D24" s="33">
        <v>173.25</v>
      </c>
    </row>
    <row r="25" spans="1:4" x14ac:dyDescent="0.25">
      <c r="A25" s="23">
        <v>24</v>
      </c>
      <c r="B25" s="34" t="s">
        <v>3232</v>
      </c>
      <c r="C25" t="s">
        <v>1610</v>
      </c>
      <c r="D25" s="33">
        <v>173</v>
      </c>
    </row>
    <row r="26" spans="1:4" x14ac:dyDescent="0.25">
      <c r="A26" s="23">
        <v>25</v>
      </c>
      <c r="B26" s="34" t="s">
        <v>1988</v>
      </c>
      <c r="C26" t="s">
        <v>1984</v>
      </c>
      <c r="D26" s="33">
        <v>172.75</v>
      </c>
    </row>
    <row r="27" spans="1:4" x14ac:dyDescent="0.25">
      <c r="A27" s="23">
        <v>26</v>
      </c>
      <c r="B27" s="34" t="s">
        <v>3194</v>
      </c>
      <c r="C27" t="s">
        <v>1422</v>
      </c>
      <c r="D27" s="33">
        <v>172.5</v>
      </c>
    </row>
    <row r="28" spans="1:4" x14ac:dyDescent="0.25">
      <c r="A28" s="23">
        <v>27</v>
      </c>
      <c r="B28" s="34" t="s">
        <v>3284</v>
      </c>
      <c r="C28" t="s">
        <v>1915</v>
      </c>
      <c r="D28" s="33">
        <v>172.5</v>
      </c>
    </row>
    <row r="29" spans="1:4" x14ac:dyDescent="0.25">
      <c r="A29" s="23">
        <v>28</v>
      </c>
      <c r="B29" s="34" t="s">
        <v>3206</v>
      </c>
      <c r="C29" t="s">
        <v>1473</v>
      </c>
      <c r="D29" s="33">
        <v>172.5</v>
      </c>
    </row>
    <row r="30" spans="1:4" x14ac:dyDescent="0.25">
      <c r="A30" s="23">
        <v>29</v>
      </c>
      <c r="B30" s="34" t="s">
        <v>3346</v>
      </c>
      <c r="C30" t="s">
        <v>2266</v>
      </c>
      <c r="D30" s="33">
        <v>171.75</v>
      </c>
    </row>
    <row r="31" spans="1:4" x14ac:dyDescent="0.25">
      <c r="A31" s="23">
        <v>30</v>
      </c>
      <c r="B31" s="34" t="s">
        <v>3347</v>
      </c>
      <c r="C31" t="s">
        <v>2276</v>
      </c>
      <c r="D31" s="33">
        <v>171.25</v>
      </c>
    </row>
    <row r="32" spans="1:4" x14ac:dyDescent="0.25">
      <c r="A32" s="23">
        <v>31</v>
      </c>
      <c r="B32" s="34" t="s">
        <v>3279</v>
      </c>
      <c r="C32" t="s">
        <v>1891</v>
      </c>
      <c r="D32" s="33">
        <v>171</v>
      </c>
    </row>
    <row r="33" spans="1:4" x14ac:dyDescent="0.25">
      <c r="A33" s="23">
        <v>32</v>
      </c>
      <c r="B33" s="34" t="s">
        <v>3223</v>
      </c>
      <c r="C33" t="s">
        <v>1554</v>
      </c>
      <c r="D33" s="33">
        <v>170.84</v>
      </c>
    </row>
    <row r="34" spans="1:4" x14ac:dyDescent="0.25">
      <c r="A34" s="23">
        <v>33</v>
      </c>
      <c r="B34" s="34" t="s">
        <v>3299</v>
      </c>
      <c r="C34" t="s">
        <v>1999</v>
      </c>
      <c r="D34" s="33">
        <v>170.5</v>
      </c>
    </row>
    <row r="35" spans="1:4" x14ac:dyDescent="0.25">
      <c r="A35" s="23">
        <v>34</v>
      </c>
      <c r="B35" s="34" t="s">
        <v>3270</v>
      </c>
      <c r="C35" t="s">
        <v>1835</v>
      </c>
      <c r="D35" s="33">
        <v>170</v>
      </c>
    </row>
    <row r="36" spans="1:4" x14ac:dyDescent="0.25">
      <c r="A36" s="23">
        <v>35</v>
      </c>
      <c r="B36" s="34" t="s">
        <v>3333</v>
      </c>
      <c r="C36" t="s">
        <v>2197</v>
      </c>
      <c r="D36" s="33">
        <v>169.25</v>
      </c>
    </row>
    <row r="37" spans="1:4" x14ac:dyDescent="0.25">
      <c r="A37" s="23">
        <v>36</v>
      </c>
      <c r="B37" s="34" t="s">
        <v>3173</v>
      </c>
      <c r="C37" t="s">
        <v>1302</v>
      </c>
      <c r="D37" s="33">
        <v>169.25</v>
      </c>
    </row>
    <row r="38" spans="1:4" x14ac:dyDescent="0.25">
      <c r="A38" s="23">
        <v>37</v>
      </c>
      <c r="B38" s="34" t="s">
        <v>3145</v>
      </c>
      <c r="C38" t="s">
        <v>1158</v>
      </c>
      <c r="D38" s="33">
        <v>168.75</v>
      </c>
    </row>
    <row r="39" spans="1:4" x14ac:dyDescent="0.25">
      <c r="A39" s="23">
        <v>38</v>
      </c>
      <c r="B39" s="34" t="s">
        <v>3187</v>
      </c>
      <c r="C39" t="s">
        <v>1381</v>
      </c>
      <c r="D39" s="33">
        <v>168.75</v>
      </c>
    </row>
    <row r="40" spans="1:4" x14ac:dyDescent="0.25">
      <c r="A40" s="23">
        <v>39</v>
      </c>
      <c r="B40" s="34" t="s">
        <v>3296</v>
      </c>
      <c r="C40" t="s">
        <v>1979</v>
      </c>
      <c r="D40" s="33">
        <v>168.25</v>
      </c>
    </row>
    <row r="41" spans="1:4" x14ac:dyDescent="0.25">
      <c r="A41" s="23">
        <v>40</v>
      </c>
      <c r="B41" s="34" t="s">
        <v>2048</v>
      </c>
      <c r="C41" t="s">
        <v>2043</v>
      </c>
      <c r="D41" s="33">
        <v>168</v>
      </c>
    </row>
    <row r="42" spans="1:4" x14ac:dyDescent="0.25">
      <c r="A42" s="23">
        <v>41</v>
      </c>
      <c r="B42" s="34" t="s">
        <v>3257</v>
      </c>
      <c r="C42" t="s">
        <v>3390</v>
      </c>
      <c r="D42" s="33">
        <v>168</v>
      </c>
    </row>
    <row r="43" spans="1:4" x14ac:dyDescent="0.25">
      <c r="A43" s="23">
        <v>42</v>
      </c>
      <c r="B43" s="34" t="s">
        <v>3249</v>
      </c>
      <c r="C43" t="s">
        <v>1694</v>
      </c>
      <c r="D43" s="33">
        <v>167.75</v>
      </c>
    </row>
    <row r="44" spans="1:4" x14ac:dyDescent="0.25">
      <c r="A44" s="23">
        <v>43</v>
      </c>
      <c r="B44" s="34" t="s">
        <v>3144</v>
      </c>
      <c r="C44" t="s">
        <v>1154</v>
      </c>
      <c r="D44" s="33">
        <v>167.29</v>
      </c>
    </row>
    <row r="45" spans="1:4" x14ac:dyDescent="0.25">
      <c r="A45" s="23">
        <v>44</v>
      </c>
      <c r="B45" s="34" t="s">
        <v>3241</v>
      </c>
      <c r="C45" t="s">
        <v>1657</v>
      </c>
      <c r="D45" s="33">
        <v>167</v>
      </c>
    </row>
    <row r="46" spans="1:4" x14ac:dyDescent="0.25">
      <c r="A46" s="23">
        <v>45</v>
      </c>
      <c r="B46" s="34" t="s">
        <v>3160</v>
      </c>
      <c r="C46" t="s">
        <v>1236</v>
      </c>
      <c r="D46" s="33">
        <v>166.75</v>
      </c>
    </row>
    <row r="47" spans="1:4" x14ac:dyDescent="0.25">
      <c r="A47" s="23">
        <v>46</v>
      </c>
      <c r="B47" s="34" t="s">
        <v>3320</v>
      </c>
      <c r="C47" t="s">
        <v>2125</v>
      </c>
      <c r="D47" s="33">
        <v>166.75</v>
      </c>
    </row>
    <row r="48" spans="1:4" x14ac:dyDescent="0.25">
      <c r="A48" s="23">
        <v>47</v>
      </c>
      <c r="B48" s="34" t="s">
        <v>3168</v>
      </c>
      <c r="C48" t="s">
        <v>1276</v>
      </c>
      <c r="D48" s="33">
        <v>166.68</v>
      </c>
    </row>
    <row r="49" spans="1:4" x14ac:dyDescent="0.25">
      <c r="A49" s="23">
        <v>48</v>
      </c>
      <c r="B49" s="34" t="s">
        <v>3239</v>
      </c>
      <c r="C49" t="s">
        <v>1648</v>
      </c>
      <c r="D49" s="33">
        <v>166.5</v>
      </c>
    </row>
    <row r="50" spans="1:4" x14ac:dyDescent="0.25">
      <c r="A50" s="23">
        <v>49</v>
      </c>
      <c r="B50" s="34" t="s">
        <v>3188</v>
      </c>
      <c r="C50" t="s">
        <v>1385</v>
      </c>
      <c r="D50" s="33">
        <v>165.75</v>
      </c>
    </row>
    <row r="51" spans="1:4" x14ac:dyDescent="0.25">
      <c r="A51" s="23">
        <v>50</v>
      </c>
      <c r="B51" s="34" t="s">
        <v>3169</v>
      </c>
      <c r="C51" t="s">
        <v>1282</v>
      </c>
      <c r="D51" s="33">
        <v>165</v>
      </c>
    </row>
    <row r="52" spans="1:4" x14ac:dyDescent="0.25">
      <c r="A52" s="23">
        <v>51</v>
      </c>
      <c r="B52" s="34" t="s">
        <v>3229</v>
      </c>
      <c r="C52" t="s">
        <v>1595</v>
      </c>
      <c r="D52" s="33">
        <v>164.75</v>
      </c>
    </row>
    <row r="53" spans="1:4" x14ac:dyDescent="0.25">
      <c r="A53" s="23">
        <v>52</v>
      </c>
      <c r="B53" s="34" t="s">
        <v>3364</v>
      </c>
      <c r="C53" t="s">
        <v>2819</v>
      </c>
      <c r="D53" s="33">
        <v>164.5</v>
      </c>
    </row>
    <row r="54" spans="1:4" x14ac:dyDescent="0.25">
      <c r="A54" s="23">
        <v>53</v>
      </c>
      <c r="B54" s="34" t="s">
        <v>3339</v>
      </c>
      <c r="C54" t="s">
        <v>2228</v>
      </c>
      <c r="D54" s="33">
        <v>164.5</v>
      </c>
    </row>
    <row r="55" spans="1:4" x14ac:dyDescent="0.25">
      <c r="A55" s="23">
        <v>54</v>
      </c>
      <c r="B55" s="34" t="s">
        <v>3154</v>
      </c>
      <c r="C55" t="s">
        <v>1201</v>
      </c>
      <c r="D55" s="33">
        <v>164</v>
      </c>
    </row>
    <row r="56" spans="1:4" x14ac:dyDescent="0.25">
      <c r="A56" s="23">
        <v>55</v>
      </c>
      <c r="B56" s="34" t="s">
        <v>3204</v>
      </c>
      <c r="C56" t="s">
        <v>795</v>
      </c>
      <c r="D56" s="33">
        <v>163.80000000000001</v>
      </c>
    </row>
    <row r="57" spans="1:4" x14ac:dyDescent="0.25">
      <c r="A57" s="23">
        <v>56</v>
      </c>
      <c r="B57" s="34" t="s">
        <v>3207</v>
      </c>
      <c r="C57" t="s">
        <v>1478</v>
      </c>
      <c r="D57" s="33">
        <v>163.75</v>
      </c>
    </row>
    <row r="58" spans="1:4" x14ac:dyDescent="0.25">
      <c r="A58" s="23">
        <v>57</v>
      </c>
      <c r="B58" s="34" t="s">
        <v>3170</v>
      </c>
      <c r="C58" t="s">
        <v>1288</v>
      </c>
      <c r="D58" s="33">
        <v>163.25</v>
      </c>
    </row>
    <row r="59" spans="1:4" x14ac:dyDescent="0.25">
      <c r="A59" s="23">
        <v>58</v>
      </c>
      <c r="B59" s="34" t="s">
        <v>3184</v>
      </c>
      <c r="C59" t="s">
        <v>1366</v>
      </c>
      <c r="D59" s="33">
        <v>162.75</v>
      </c>
    </row>
    <row r="60" spans="1:4" x14ac:dyDescent="0.25">
      <c r="A60" s="23">
        <v>59</v>
      </c>
      <c r="B60" s="34" t="s">
        <v>3155</v>
      </c>
      <c r="C60" t="s">
        <v>1205</v>
      </c>
      <c r="D60" s="33">
        <v>162.75</v>
      </c>
    </row>
    <row r="61" spans="1:4" x14ac:dyDescent="0.25">
      <c r="A61" s="23">
        <v>60</v>
      </c>
      <c r="B61" s="34" t="s">
        <v>3298</v>
      </c>
      <c r="C61" t="s">
        <v>1994</v>
      </c>
      <c r="D61" s="33">
        <v>162.75</v>
      </c>
    </row>
    <row r="62" spans="1:4" x14ac:dyDescent="0.25">
      <c r="A62" s="23">
        <v>61</v>
      </c>
      <c r="B62" s="34" t="s">
        <v>1811</v>
      </c>
      <c r="C62" t="s">
        <v>1806</v>
      </c>
      <c r="D62" s="33">
        <v>162.5</v>
      </c>
    </row>
    <row r="63" spans="1:4" x14ac:dyDescent="0.25">
      <c r="A63" s="23">
        <v>62</v>
      </c>
      <c r="B63" s="34" t="s">
        <v>3268</v>
      </c>
      <c r="C63" t="s">
        <v>1825</v>
      </c>
      <c r="D63" s="33">
        <v>162.25</v>
      </c>
    </row>
    <row r="64" spans="1:4" x14ac:dyDescent="0.25">
      <c r="A64" s="23">
        <v>63</v>
      </c>
      <c r="B64" s="34" t="s">
        <v>3186</v>
      </c>
      <c r="C64" t="s">
        <v>1377</v>
      </c>
      <c r="D64" s="33">
        <v>161.84</v>
      </c>
    </row>
    <row r="65" spans="1:4" x14ac:dyDescent="0.25">
      <c r="A65" s="23">
        <v>64</v>
      </c>
      <c r="B65" s="34" t="s">
        <v>3361</v>
      </c>
      <c r="C65" t="s">
        <v>2348</v>
      </c>
      <c r="D65" s="33">
        <v>161.5</v>
      </c>
    </row>
    <row r="66" spans="1:4" x14ac:dyDescent="0.25">
      <c r="A66" s="23">
        <v>65</v>
      </c>
      <c r="B66" s="34" t="s">
        <v>3310</v>
      </c>
      <c r="C66" t="s">
        <v>2081</v>
      </c>
      <c r="D66" s="33">
        <v>161.5</v>
      </c>
    </row>
    <row r="67" spans="1:4" x14ac:dyDescent="0.25">
      <c r="A67" s="23">
        <v>66</v>
      </c>
      <c r="B67" s="34" t="s">
        <v>3151</v>
      </c>
      <c r="C67" t="s">
        <v>1187</v>
      </c>
      <c r="D67" s="33">
        <v>160.5</v>
      </c>
    </row>
    <row r="68" spans="1:4" x14ac:dyDescent="0.25">
      <c r="A68" s="23">
        <v>67</v>
      </c>
      <c r="B68" s="34" t="s">
        <v>3147</v>
      </c>
      <c r="C68" t="s">
        <v>1168</v>
      </c>
      <c r="D68" s="33">
        <v>160.5</v>
      </c>
    </row>
    <row r="69" spans="1:4" x14ac:dyDescent="0.25">
      <c r="A69" s="23">
        <v>68</v>
      </c>
      <c r="B69" s="34" t="s">
        <v>3325</v>
      </c>
      <c r="C69" t="s">
        <v>2156</v>
      </c>
      <c r="D69" s="33">
        <v>160.5</v>
      </c>
    </row>
    <row r="70" spans="1:4" x14ac:dyDescent="0.25">
      <c r="A70" s="23">
        <v>69</v>
      </c>
      <c r="B70" s="34" t="s">
        <v>3235</v>
      </c>
      <c r="C70" t="s">
        <v>1626</v>
      </c>
      <c r="D70" s="33">
        <v>159.25</v>
      </c>
    </row>
    <row r="71" spans="1:4" x14ac:dyDescent="0.25">
      <c r="A71" s="23">
        <v>70</v>
      </c>
      <c r="B71" s="34" t="s">
        <v>3322</v>
      </c>
      <c r="C71" t="s">
        <v>2136</v>
      </c>
      <c r="D71" s="33">
        <v>159.05000000000001</v>
      </c>
    </row>
    <row r="72" spans="1:4" x14ac:dyDescent="0.25">
      <c r="A72" s="23">
        <v>71</v>
      </c>
      <c r="B72" s="34" t="s">
        <v>3321</v>
      </c>
      <c r="C72" t="s">
        <v>2131</v>
      </c>
      <c r="D72" s="33">
        <v>158.25</v>
      </c>
    </row>
    <row r="73" spans="1:4" x14ac:dyDescent="0.25">
      <c r="A73" s="23">
        <v>72</v>
      </c>
      <c r="B73" s="34" t="s">
        <v>3219</v>
      </c>
      <c r="C73" t="s">
        <v>1540</v>
      </c>
      <c r="D73" s="33">
        <v>157.79</v>
      </c>
    </row>
    <row r="74" spans="1:4" x14ac:dyDescent="0.25">
      <c r="A74" s="23">
        <v>73</v>
      </c>
      <c r="B74" s="34" t="s">
        <v>1578</v>
      </c>
      <c r="C74" t="s">
        <v>1574</v>
      </c>
      <c r="D74" s="33">
        <v>157.5</v>
      </c>
    </row>
    <row r="75" spans="1:4" x14ac:dyDescent="0.25">
      <c r="A75" s="23">
        <v>74</v>
      </c>
      <c r="B75" s="34" t="s">
        <v>3348</v>
      </c>
      <c r="C75" t="s">
        <v>2281</v>
      </c>
      <c r="D75" s="33">
        <v>157.25</v>
      </c>
    </row>
    <row r="76" spans="1:4" x14ac:dyDescent="0.25">
      <c r="A76" s="23">
        <v>75</v>
      </c>
      <c r="B76" s="34" t="s">
        <v>3341</v>
      </c>
      <c r="C76" t="s">
        <v>2239</v>
      </c>
      <c r="D76" s="33">
        <v>157</v>
      </c>
    </row>
    <row r="77" spans="1:4" x14ac:dyDescent="0.25">
      <c r="A77" s="23">
        <v>76</v>
      </c>
      <c r="B77" s="34" t="s">
        <v>3303</v>
      </c>
      <c r="C77" t="s">
        <v>2018</v>
      </c>
      <c r="D77" s="33">
        <v>156.75</v>
      </c>
    </row>
    <row r="78" spans="1:4" x14ac:dyDescent="0.25">
      <c r="A78" s="23">
        <v>77</v>
      </c>
      <c r="B78" s="34" t="s">
        <v>3343</v>
      </c>
      <c r="C78" t="s">
        <v>2248</v>
      </c>
      <c r="D78" s="33">
        <v>156</v>
      </c>
    </row>
    <row r="79" spans="1:4" x14ac:dyDescent="0.25">
      <c r="A79" s="23">
        <v>78</v>
      </c>
      <c r="B79" s="34" t="s">
        <v>3234</v>
      </c>
      <c r="C79" t="s">
        <v>1621</v>
      </c>
      <c r="D79" s="33">
        <v>155.75</v>
      </c>
    </row>
    <row r="80" spans="1:4" x14ac:dyDescent="0.25">
      <c r="A80" s="23">
        <v>79</v>
      </c>
      <c r="B80" s="34" t="s">
        <v>3205</v>
      </c>
      <c r="C80" t="s">
        <v>1468</v>
      </c>
      <c r="D80" s="33">
        <v>155.5</v>
      </c>
    </row>
    <row r="81" spans="1:4" x14ac:dyDescent="0.25">
      <c r="A81" s="23">
        <v>80</v>
      </c>
      <c r="B81" s="34" t="s">
        <v>3191</v>
      </c>
      <c r="C81" t="s">
        <v>1408</v>
      </c>
      <c r="D81" s="33">
        <v>155.5</v>
      </c>
    </row>
    <row r="82" spans="1:4" x14ac:dyDescent="0.25">
      <c r="A82" s="23">
        <v>81</v>
      </c>
      <c r="B82" s="34" t="s">
        <v>3335</v>
      </c>
      <c r="C82" t="s">
        <v>2206</v>
      </c>
      <c r="D82" s="33">
        <v>155.5</v>
      </c>
    </row>
    <row r="83" spans="1:4" x14ac:dyDescent="0.25">
      <c r="A83" s="23">
        <v>82</v>
      </c>
      <c r="B83" s="34" t="s">
        <v>1710</v>
      </c>
      <c r="C83" t="s">
        <v>1706</v>
      </c>
      <c r="D83" s="33">
        <v>155</v>
      </c>
    </row>
    <row r="84" spans="1:4" x14ac:dyDescent="0.25">
      <c r="A84" s="23">
        <v>83</v>
      </c>
      <c r="B84" s="34" t="s">
        <v>3286</v>
      </c>
      <c r="C84" t="s">
        <v>1923</v>
      </c>
      <c r="D84" s="33">
        <v>154.83000000000001</v>
      </c>
    </row>
    <row r="85" spans="1:4" x14ac:dyDescent="0.25">
      <c r="A85" s="23">
        <v>84</v>
      </c>
      <c r="B85" s="34" t="s">
        <v>3277</v>
      </c>
      <c r="C85" t="s">
        <v>1883</v>
      </c>
      <c r="D85" s="33">
        <v>154.75</v>
      </c>
    </row>
    <row r="86" spans="1:4" x14ac:dyDescent="0.25">
      <c r="A86" s="23">
        <v>85</v>
      </c>
      <c r="B86" s="34" t="s">
        <v>3338</v>
      </c>
      <c r="C86" t="s">
        <v>2222</v>
      </c>
      <c r="D86" s="33">
        <v>154.75</v>
      </c>
    </row>
    <row r="87" spans="1:4" x14ac:dyDescent="0.25">
      <c r="A87" s="23">
        <v>86</v>
      </c>
      <c r="B87" s="34" t="s">
        <v>3164</v>
      </c>
      <c r="C87" t="s">
        <v>1257</v>
      </c>
      <c r="D87" s="33">
        <v>154.54</v>
      </c>
    </row>
    <row r="88" spans="1:4" x14ac:dyDescent="0.25">
      <c r="A88" s="23">
        <v>87</v>
      </c>
      <c r="B88" s="34" t="s">
        <v>3315</v>
      </c>
      <c r="C88" t="s">
        <v>2103</v>
      </c>
      <c r="D88" s="33">
        <v>154.25</v>
      </c>
    </row>
    <row r="89" spans="1:4" x14ac:dyDescent="0.25">
      <c r="A89" s="23">
        <v>88</v>
      </c>
      <c r="B89" s="34" t="s">
        <v>3340</v>
      </c>
      <c r="C89" t="s">
        <v>2234</v>
      </c>
      <c r="D89" s="33">
        <v>154.25</v>
      </c>
    </row>
    <row r="90" spans="1:4" x14ac:dyDescent="0.25">
      <c r="A90" s="23">
        <v>89</v>
      </c>
      <c r="B90" s="34" t="s">
        <v>3362</v>
      </c>
      <c r="C90" t="s">
        <v>2354</v>
      </c>
      <c r="D90" s="33">
        <v>154.05000000000001</v>
      </c>
    </row>
    <row r="91" spans="1:4" x14ac:dyDescent="0.25">
      <c r="A91" s="23">
        <v>90</v>
      </c>
      <c r="B91" s="34" t="s">
        <v>3351</v>
      </c>
      <c r="C91" t="s">
        <v>2296</v>
      </c>
      <c r="D91" s="33">
        <v>154</v>
      </c>
    </row>
    <row r="92" spans="1:4" x14ac:dyDescent="0.25">
      <c r="A92" s="23">
        <v>91</v>
      </c>
      <c r="B92" s="34" t="s">
        <v>3314</v>
      </c>
      <c r="C92" t="s">
        <v>2098</v>
      </c>
      <c r="D92" s="33">
        <v>153.75</v>
      </c>
    </row>
    <row r="93" spans="1:4" x14ac:dyDescent="0.25">
      <c r="A93" s="23">
        <v>92</v>
      </c>
      <c r="B93" s="34" t="s">
        <v>3185</v>
      </c>
      <c r="C93" t="s">
        <v>1371</v>
      </c>
      <c r="D93" s="33">
        <v>153.75</v>
      </c>
    </row>
    <row r="94" spans="1:4" x14ac:dyDescent="0.25">
      <c r="A94" s="23">
        <v>93</v>
      </c>
      <c r="B94" s="34" t="s">
        <v>3174</v>
      </c>
      <c r="C94" t="s">
        <v>1307</v>
      </c>
      <c r="D94" s="33">
        <v>153.25</v>
      </c>
    </row>
    <row r="95" spans="1:4" x14ac:dyDescent="0.25">
      <c r="A95" s="23">
        <v>94</v>
      </c>
      <c r="B95" s="34" t="s">
        <v>3222</v>
      </c>
      <c r="C95" t="s">
        <v>1550</v>
      </c>
      <c r="D95" s="33">
        <v>153</v>
      </c>
    </row>
    <row r="96" spans="1:4" x14ac:dyDescent="0.25">
      <c r="A96" s="23">
        <v>95</v>
      </c>
      <c r="B96" s="34" t="s">
        <v>3172</v>
      </c>
      <c r="C96" t="s">
        <v>1297</v>
      </c>
      <c r="D96" s="33">
        <v>153</v>
      </c>
    </row>
    <row r="97" spans="1:4" x14ac:dyDescent="0.25">
      <c r="A97" s="23">
        <v>96</v>
      </c>
      <c r="B97" s="34" t="s">
        <v>3307</v>
      </c>
      <c r="C97" t="s">
        <v>2059</v>
      </c>
      <c r="D97" s="33">
        <v>153</v>
      </c>
    </row>
    <row r="98" spans="1:4" x14ac:dyDescent="0.25">
      <c r="A98" s="23">
        <v>97</v>
      </c>
      <c r="B98" s="34" t="s">
        <v>3281</v>
      </c>
      <c r="C98" t="s">
        <v>1901</v>
      </c>
      <c r="D98" s="33">
        <v>152.5</v>
      </c>
    </row>
    <row r="99" spans="1:4" x14ac:dyDescent="0.25">
      <c r="A99" s="23">
        <v>98</v>
      </c>
      <c r="B99" s="34" t="s">
        <v>3354</v>
      </c>
      <c r="C99" t="s">
        <v>2310</v>
      </c>
      <c r="D99" s="33">
        <v>152.5</v>
      </c>
    </row>
    <row r="100" spans="1:4" x14ac:dyDescent="0.25">
      <c r="A100" s="23">
        <v>99</v>
      </c>
      <c r="B100" s="34" t="s">
        <v>3350</v>
      </c>
      <c r="C100" t="s">
        <v>2291</v>
      </c>
      <c r="D100" s="33">
        <v>152.25</v>
      </c>
    </row>
    <row r="101" spans="1:4" x14ac:dyDescent="0.25">
      <c r="A101" s="23">
        <v>100</v>
      </c>
      <c r="B101" s="34" t="s">
        <v>3255</v>
      </c>
      <c r="C101" t="s">
        <v>1742</v>
      </c>
      <c r="D101" s="33">
        <v>152.25</v>
      </c>
    </row>
    <row r="102" spans="1:4" x14ac:dyDescent="0.25">
      <c r="A102" s="23">
        <v>101</v>
      </c>
      <c r="B102" s="34" t="s">
        <v>3318</v>
      </c>
      <c r="C102" t="s">
        <v>2117</v>
      </c>
      <c r="D102" s="33">
        <v>151.5</v>
      </c>
    </row>
    <row r="103" spans="1:4" x14ac:dyDescent="0.25">
      <c r="A103" s="23">
        <v>102</v>
      </c>
      <c r="B103" s="34" t="s">
        <v>3260</v>
      </c>
      <c r="C103" t="s">
        <v>1771</v>
      </c>
      <c r="D103" s="33">
        <v>151.25</v>
      </c>
    </row>
    <row r="104" spans="1:4" x14ac:dyDescent="0.25">
      <c r="A104" s="23">
        <v>103</v>
      </c>
      <c r="B104" s="34" t="s">
        <v>3306</v>
      </c>
      <c r="C104" t="s">
        <v>2055</v>
      </c>
      <c r="D104" s="33">
        <v>150.80000000000001</v>
      </c>
    </row>
    <row r="105" spans="1:4" x14ac:dyDescent="0.25">
      <c r="A105" s="23">
        <v>104</v>
      </c>
      <c r="B105" s="34" t="s">
        <v>3269</v>
      </c>
      <c r="C105" t="s">
        <v>1830</v>
      </c>
      <c r="D105" s="33">
        <v>150.75</v>
      </c>
    </row>
    <row r="106" spans="1:4" x14ac:dyDescent="0.25">
      <c r="A106" s="23">
        <v>105</v>
      </c>
      <c r="B106" s="34" t="s">
        <v>3231</v>
      </c>
      <c r="C106" t="s">
        <v>1605</v>
      </c>
      <c r="D106" s="33">
        <v>150.30000000000001</v>
      </c>
    </row>
    <row r="107" spans="1:4" x14ac:dyDescent="0.25">
      <c r="A107" s="23">
        <v>106</v>
      </c>
      <c r="B107" s="34" t="s">
        <v>3267</v>
      </c>
      <c r="C107" t="s">
        <v>1820</v>
      </c>
      <c r="D107" s="33">
        <v>150.25</v>
      </c>
    </row>
    <row r="108" spans="1:4" x14ac:dyDescent="0.25">
      <c r="A108" s="23">
        <v>107</v>
      </c>
      <c r="B108" s="34" t="s">
        <v>3330</v>
      </c>
      <c r="C108" t="s">
        <v>2178</v>
      </c>
      <c r="D108" s="33">
        <v>150.25</v>
      </c>
    </row>
    <row r="109" spans="1:4" x14ac:dyDescent="0.25">
      <c r="A109" s="23">
        <v>108</v>
      </c>
      <c r="B109" s="34" t="s">
        <v>2074</v>
      </c>
      <c r="C109" t="s">
        <v>2069</v>
      </c>
      <c r="D109" s="33">
        <v>150.12</v>
      </c>
    </row>
    <row r="110" spans="1:4" x14ac:dyDescent="0.25">
      <c r="A110" s="23">
        <v>109</v>
      </c>
      <c r="B110" s="34" t="s">
        <v>3217</v>
      </c>
      <c r="C110" t="s">
        <v>1532</v>
      </c>
      <c r="D110" s="33">
        <v>150</v>
      </c>
    </row>
    <row r="111" spans="1:4" x14ac:dyDescent="0.25">
      <c r="A111" s="23">
        <v>110</v>
      </c>
      <c r="B111" s="34" t="s">
        <v>3196</v>
      </c>
      <c r="C111" t="s">
        <v>1431</v>
      </c>
      <c r="D111" s="33">
        <v>149.75</v>
      </c>
    </row>
    <row r="112" spans="1:4" x14ac:dyDescent="0.25">
      <c r="A112" s="23">
        <v>111</v>
      </c>
      <c r="B112" s="34" t="s">
        <v>3324</v>
      </c>
      <c r="C112" t="s">
        <v>2152</v>
      </c>
      <c r="D112" s="33">
        <v>149.5</v>
      </c>
    </row>
    <row r="113" spans="1:4" x14ac:dyDescent="0.25">
      <c r="A113" s="23">
        <v>112</v>
      </c>
      <c r="B113" s="34" t="s">
        <v>3280</v>
      </c>
      <c r="C113" t="s">
        <v>1896</v>
      </c>
      <c r="D113" s="33">
        <v>148.75</v>
      </c>
    </row>
    <row r="114" spans="1:4" x14ac:dyDescent="0.25">
      <c r="A114" s="23">
        <v>113</v>
      </c>
      <c r="B114" s="34" t="s">
        <v>3180</v>
      </c>
      <c r="C114" t="s">
        <v>1346</v>
      </c>
      <c r="D114" s="33">
        <v>148.72999999999999</v>
      </c>
    </row>
    <row r="115" spans="1:4" x14ac:dyDescent="0.25">
      <c r="A115" s="23">
        <v>114</v>
      </c>
      <c r="B115" s="34" t="s">
        <v>3344</v>
      </c>
      <c r="C115" t="s">
        <v>2254</v>
      </c>
      <c r="D115" s="33">
        <v>148.13999999999999</v>
      </c>
    </row>
    <row r="116" spans="1:4" x14ac:dyDescent="0.25">
      <c r="A116" s="23">
        <v>115</v>
      </c>
      <c r="B116" s="34" t="s">
        <v>3228</v>
      </c>
      <c r="C116" t="s">
        <v>3389</v>
      </c>
      <c r="D116" s="33">
        <v>148</v>
      </c>
    </row>
    <row r="117" spans="1:4" x14ac:dyDescent="0.25">
      <c r="A117" s="23">
        <v>116</v>
      </c>
      <c r="B117" s="34" t="s">
        <v>3336</v>
      </c>
      <c r="C117" t="s">
        <v>2211</v>
      </c>
      <c r="D117" s="33">
        <v>147.25</v>
      </c>
    </row>
    <row r="118" spans="1:4" x14ac:dyDescent="0.25">
      <c r="A118" s="23">
        <v>117</v>
      </c>
      <c r="B118" s="34" t="s">
        <v>3357</v>
      </c>
      <c r="C118" t="s">
        <v>2322</v>
      </c>
      <c r="D118" s="33">
        <v>147.09</v>
      </c>
    </row>
    <row r="119" spans="1:4" x14ac:dyDescent="0.25">
      <c r="A119" s="23">
        <v>118</v>
      </c>
      <c r="B119" s="34" t="s">
        <v>3209</v>
      </c>
      <c r="C119" t="s">
        <v>1488</v>
      </c>
      <c r="D119" s="33">
        <v>147</v>
      </c>
    </row>
    <row r="120" spans="1:4" x14ac:dyDescent="0.25">
      <c r="A120" s="23">
        <v>119</v>
      </c>
      <c r="B120" s="34" t="s">
        <v>3285</v>
      </c>
      <c r="C120" t="s">
        <v>1920</v>
      </c>
      <c r="D120" s="33">
        <v>146.5</v>
      </c>
    </row>
    <row r="121" spans="1:4" x14ac:dyDescent="0.25">
      <c r="A121" s="23">
        <v>120</v>
      </c>
      <c r="B121" s="34" t="s">
        <v>3214</v>
      </c>
      <c r="C121" t="s">
        <v>1514</v>
      </c>
      <c r="D121" s="33">
        <v>146.02000000000001</v>
      </c>
    </row>
    <row r="122" spans="1:4" x14ac:dyDescent="0.25">
      <c r="A122" s="23">
        <v>121</v>
      </c>
      <c r="B122" s="34" t="s">
        <v>3317</v>
      </c>
      <c r="C122" t="s">
        <v>2112</v>
      </c>
      <c r="D122" s="33">
        <v>145.93</v>
      </c>
    </row>
    <row r="123" spans="1:4" x14ac:dyDescent="0.25">
      <c r="A123" s="23">
        <v>122</v>
      </c>
      <c r="B123" s="34" t="s">
        <v>3216</v>
      </c>
      <c r="C123" t="s">
        <v>1527</v>
      </c>
      <c r="D123" s="33">
        <v>145.75</v>
      </c>
    </row>
    <row r="124" spans="1:4" x14ac:dyDescent="0.25">
      <c r="A124" s="23">
        <v>123</v>
      </c>
      <c r="B124" s="34" t="s">
        <v>3334</v>
      </c>
      <c r="C124" t="s">
        <v>2202</v>
      </c>
      <c r="D124" s="33">
        <v>145.59</v>
      </c>
    </row>
    <row r="125" spans="1:4" x14ac:dyDescent="0.25">
      <c r="A125" s="23">
        <v>124</v>
      </c>
      <c r="B125" s="34" t="s">
        <v>3329</v>
      </c>
      <c r="C125" t="s">
        <v>2175</v>
      </c>
      <c r="D125" s="33">
        <v>145.5</v>
      </c>
    </row>
    <row r="126" spans="1:4" x14ac:dyDescent="0.25">
      <c r="A126" s="23">
        <v>125</v>
      </c>
      <c r="B126" s="34" t="s">
        <v>3297</v>
      </c>
      <c r="C126" t="s">
        <v>1989</v>
      </c>
      <c r="D126" s="33">
        <v>145.30000000000001</v>
      </c>
    </row>
    <row r="127" spans="1:4" x14ac:dyDescent="0.25">
      <c r="A127" s="23">
        <v>126</v>
      </c>
      <c r="B127" s="34" t="s">
        <v>3275</v>
      </c>
      <c r="C127" t="s">
        <v>1873</v>
      </c>
      <c r="D127" s="33">
        <v>145.02000000000001</v>
      </c>
    </row>
    <row r="128" spans="1:4" x14ac:dyDescent="0.25">
      <c r="A128" s="23">
        <v>127</v>
      </c>
      <c r="B128" s="34" t="s">
        <v>3263</v>
      </c>
      <c r="C128" t="s">
        <v>1790</v>
      </c>
      <c r="D128" s="33">
        <v>143.75</v>
      </c>
    </row>
    <row r="129" spans="1:4" x14ac:dyDescent="0.25">
      <c r="A129" s="23">
        <v>128</v>
      </c>
      <c r="B129" s="34" t="s">
        <v>3240</v>
      </c>
      <c r="C129" t="s">
        <v>1653</v>
      </c>
      <c r="D129" s="33">
        <v>143.25</v>
      </c>
    </row>
    <row r="130" spans="1:4" x14ac:dyDescent="0.25">
      <c r="A130" s="23">
        <v>129</v>
      </c>
      <c r="B130" s="34" t="s">
        <v>3146</v>
      </c>
      <c r="C130" t="s">
        <v>1162</v>
      </c>
      <c r="D130" s="33">
        <v>142.30000000000001</v>
      </c>
    </row>
    <row r="131" spans="1:4" x14ac:dyDescent="0.25">
      <c r="A131" s="23">
        <v>130</v>
      </c>
      <c r="B131" s="34" t="s">
        <v>3248</v>
      </c>
      <c r="C131" t="s">
        <v>1689</v>
      </c>
      <c r="D131" s="33">
        <v>141.5</v>
      </c>
    </row>
    <row r="132" spans="1:4" x14ac:dyDescent="0.25">
      <c r="A132" s="23">
        <v>131</v>
      </c>
      <c r="B132" s="34" t="s">
        <v>3208</v>
      </c>
      <c r="C132" t="s">
        <v>1483</v>
      </c>
      <c r="D132" s="33">
        <v>141.25</v>
      </c>
    </row>
    <row r="133" spans="1:4" x14ac:dyDescent="0.25">
      <c r="A133" s="23">
        <v>132</v>
      </c>
      <c r="B133" s="34" t="s">
        <v>3220</v>
      </c>
      <c r="C133" t="s">
        <v>3387</v>
      </c>
      <c r="D133" s="33">
        <v>140.30000000000001</v>
      </c>
    </row>
    <row r="134" spans="1:4" x14ac:dyDescent="0.25">
      <c r="A134" s="23">
        <v>133</v>
      </c>
      <c r="B134" s="34" t="s">
        <v>3266</v>
      </c>
      <c r="C134" t="s">
        <v>1816</v>
      </c>
      <c r="D134" s="33">
        <v>140.25</v>
      </c>
    </row>
    <row r="135" spans="1:4" x14ac:dyDescent="0.25">
      <c r="A135" s="23">
        <v>134</v>
      </c>
      <c r="B135" s="34" t="s">
        <v>3278</v>
      </c>
      <c r="C135" t="s">
        <v>1887</v>
      </c>
      <c r="D135" s="33">
        <v>140</v>
      </c>
    </row>
    <row r="136" spans="1:4" x14ac:dyDescent="0.25">
      <c r="A136" s="23">
        <v>135</v>
      </c>
      <c r="B136" s="34" t="s">
        <v>3265</v>
      </c>
      <c r="C136" t="s">
        <v>1812</v>
      </c>
      <c r="D136" s="33">
        <v>139.75</v>
      </c>
    </row>
    <row r="137" spans="1:4" x14ac:dyDescent="0.25">
      <c r="A137" s="23">
        <v>136</v>
      </c>
      <c r="B137" s="34" t="s">
        <v>3337</v>
      </c>
      <c r="C137" t="s">
        <v>2216</v>
      </c>
      <c r="D137" s="33">
        <v>139</v>
      </c>
    </row>
    <row r="138" spans="1:4" x14ac:dyDescent="0.25">
      <c r="A138" s="23">
        <v>137</v>
      </c>
      <c r="B138" s="34" t="s">
        <v>3360</v>
      </c>
      <c r="C138" t="s">
        <v>2344</v>
      </c>
      <c r="D138" s="33">
        <v>139</v>
      </c>
    </row>
    <row r="139" spans="1:4" x14ac:dyDescent="0.25">
      <c r="A139" s="23">
        <v>138</v>
      </c>
      <c r="B139" s="34" t="s">
        <v>3264</v>
      </c>
      <c r="C139" t="s">
        <v>2732</v>
      </c>
      <c r="D139" s="33">
        <v>137.5</v>
      </c>
    </row>
    <row r="140" spans="1:4" x14ac:dyDescent="0.25">
      <c r="A140" s="23">
        <v>139</v>
      </c>
      <c r="B140" s="34" t="s">
        <v>3189</v>
      </c>
      <c r="C140" t="s">
        <v>1391</v>
      </c>
      <c r="D140" s="33">
        <v>137.04</v>
      </c>
    </row>
    <row r="141" spans="1:4" x14ac:dyDescent="0.25">
      <c r="A141" s="23">
        <v>140</v>
      </c>
      <c r="B141" s="34" t="s">
        <v>3159</v>
      </c>
      <c r="C141" t="s">
        <v>1224</v>
      </c>
      <c r="D141" s="33">
        <v>136.75</v>
      </c>
    </row>
    <row r="142" spans="1:4" x14ac:dyDescent="0.25">
      <c r="A142" s="23">
        <v>141</v>
      </c>
      <c r="B142" s="34" t="s">
        <v>3221</v>
      </c>
      <c r="C142" t="s">
        <v>1548</v>
      </c>
      <c r="D142" s="33">
        <v>135.5</v>
      </c>
    </row>
    <row r="143" spans="1:4" x14ac:dyDescent="0.25">
      <c r="A143" s="23">
        <v>142</v>
      </c>
      <c r="B143" s="34" t="s">
        <v>3177</v>
      </c>
      <c r="C143" t="s">
        <v>1325</v>
      </c>
      <c r="D143" s="33">
        <v>135.5</v>
      </c>
    </row>
    <row r="144" spans="1:4" x14ac:dyDescent="0.25">
      <c r="A144" s="23">
        <v>143</v>
      </c>
      <c r="B144" s="34" t="s">
        <v>3291</v>
      </c>
      <c r="C144" t="s">
        <v>1950</v>
      </c>
      <c r="D144" s="33">
        <v>135.5</v>
      </c>
    </row>
    <row r="145" spans="1:4" x14ac:dyDescent="0.25">
      <c r="A145" s="23">
        <v>144</v>
      </c>
      <c r="B145" s="34" t="s">
        <v>3179</v>
      </c>
      <c r="C145" t="s">
        <v>1336</v>
      </c>
      <c r="D145" s="33">
        <v>135.34</v>
      </c>
    </row>
    <row r="146" spans="1:4" x14ac:dyDescent="0.25">
      <c r="A146" s="23">
        <v>145</v>
      </c>
      <c r="B146" s="34" t="s">
        <v>3283</v>
      </c>
      <c r="C146" t="s">
        <v>1910</v>
      </c>
      <c r="D146" s="33">
        <v>135</v>
      </c>
    </row>
    <row r="147" spans="1:4" x14ac:dyDescent="0.25">
      <c r="A147" s="23">
        <v>146</v>
      </c>
      <c r="B147" s="34" t="s">
        <v>3236</v>
      </c>
      <c r="C147" t="s">
        <v>1635</v>
      </c>
      <c r="D147" s="33">
        <v>134.75</v>
      </c>
    </row>
    <row r="148" spans="1:4" x14ac:dyDescent="0.25">
      <c r="A148" s="23">
        <v>147</v>
      </c>
      <c r="B148" s="34" t="s">
        <v>3261</v>
      </c>
      <c r="C148" t="s">
        <v>1776</v>
      </c>
      <c r="D148" s="33">
        <v>134.38</v>
      </c>
    </row>
    <row r="149" spans="1:4" x14ac:dyDescent="0.25">
      <c r="A149" s="23">
        <v>148</v>
      </c>
      <c r="B149" s="34" t="s">
        <v>3294</v>
      </c>
      <c r="C149" t="s">
        <v>1968</v>
      </c>
      <c r="D149" s="33">
        <v>134.25</v>
      </c>
    </row>
    <row r="150" spans="1:4" x14ac:dyDescent="0.25">
      <c r="A150" s="23">
        <v>149</v>
      </c>
      <c r="B150" s="34" t="s">
        <v>3272</v>
      </c>
      <c r="C150" t="s">
        <v>1846</v>
      </c>
      <c r="D150" s="33">
        <v>133.94</v>
      </c>
    </row>
    <row r="151" spans="1:4" x14ac:dyDescent="0.25">
      <c r="A151" s="23">
        <v>150</v>
      </c>
      <c r="B151" s="34" t="s">
        <v>3316</v>
      </c>
      <c r="C151" t="s">
        <v>2108</v>
      </c>
      <c r="D151" s="33">
        <v>133</v>
      </c>
    </row>
    <row r="152" spans="1:4" x14ac:dyDescent="0.25">
      <c r="A152" s="23">
        <v>151</v>
      </c>
      <c r="B152" s="34" t="s">
        <v>3148</v>
      </c>
      <c r="C152" t="s">
        <v>1174</v>
      </c>
      <c r="D152" s="33">
        <v>133</v>
      </c>
    </row>
    <row r="153" spans="1:4" x14ac:dyDescent="0.25">
      <c r="A153" s="23">
        <v>152</v>
      </c>
      <c r="B153" s="34" t="s">
        <v>3251</v>
      </c>
      <c r="C153" t="s">
        <v>1711</v>
      </c>
      <c r="D153" s="33">
        <v>129.25</v>
      </c>
    </row>
    <row r="154" spans="1:4" x14ac:dyDescent="0.25">
      <c r="A154" s="23">
        <v>153</v>
      </c>
      <c r="B154" s="34" t="s">
        <v>3175</v>
      </c>
      <c r="C154" t="s">
        <v>2694</v>
      </c>
      <c r="D154" s="33">
        <v>128.5</v>
      </c>
    </row>
    <row r="155" spans="1:4" x14ac:dyDescent="0.25">
      <c r="A155" s="23">
        <v>154</v>
      </c>
      <c r="B155" s="34" t="s">
        <v>3273</v>
      </c>
      <c r="C155" t="s">
        <v>1857</v>
      </c>
      <c r="D155" s="33">
        <v>127.5</v>
      </c>
    </row>
    <row r="156" spans="1:4" x14ac:dyDescent="0.25">
      <c r="A156" s="23">
        <v>155</v>
      </c>
      <c r="B156" s="34" t="s">
        <v>3262</v>
      </c>
      <c r="C156" t="s">
        <v>1785</v>
      </c>
      <c r="D156" s="33">
        <v>126.8</v>
      </c>
    </row>
    <row r="157" spans="1:4" x14ac:dyDescent="0.25">
      <c r="A157" s="23">
        <v>156</v>
      </c>
      <c r="B157" s="34" t="s">
        <v>3243</v>
      </c>
      <c r="C157" t="s">
        <v>1667</v>
      </c>
      <c r="D157" s="33">
        <v>126.05</v>
      </c>
    </row>
    <row r="158" spans="1:4" x14ac:dyDescent="0.25">
      <c r="A158" s="23">
        <v>157</v>
      </c>
      <c r="B158" s="34" t="s">
        <v>3345</v>
      </c>
      <c r="C158" t="s">
        <v>2260</v>
      </c>
      <c r="D158" s="33">
        <v>126</v>
      </c>
    </row>
    <row r="159" spans="1:4" x14ac:dyDescent="0.25">
      <c r="A159" s="23">
        <v>158</v>
      </c>
      <c r="B159" s="34" t="s">
        <v>3157</v>
      </c>
      <c r="C159" t="s">
        <v>1215</v>
      </c>
      <c r="D159" s="33">
        <v>125.55</v>
      </c>
    </row>
    <row r="160" spans="1:4" x14ac:dyDescent="0.25">
      <c r="A160" s="23">
        <v>159</v>
      </c>
      <c r="B160" s="34" t="s">
        <v>3246</v>
      </c>
      <c r="C160" t="s">
        <v>1680</v>
      </c>
      <c r="D160" s="33">
        <v>125.25</v>
      </c>
    </row>
    <row r="161" spans="1:4" x14ac:dyDescent="0.25">
      <c r="A161" s="23">
        <v>160</v>
      </c>
      <c r="B161" s="34" t="s">
        <v>3302</v>
      </c>
      <c r="C161" t="s">
        <v>2013</v>
      </c>
      <c r="D161" s="33">
        <v>123.68</v>
      </c>
    </row>
    <row r="162" spans="1:4" x14ac:dyDescent="0.25">
      <c r="A162" s="23">
        <v>161</v>
      </c>
      <c r="B162" s="34" t="s">
        <v>3210</v>
      </c>
      <c r="C162" t="s">
        <v>1493</v>
      </c>
      <c r="D162" s="33">
        <v>118.25</v>
      </c>
    </row>
    <row r="163" spans="1:4" x14ac:dyDescent="0.25">
      <c r="A163" s="23">
        <v>162</v>
      </c>
      <c r="B163" s="34" t="s">
        <v>3230</v>
      </c>
      <c r="C163" t="s">
        <v>1600</v>
      </c>
      <c r="D163" s="33">
        <v>117</v>
      </c>
    </row>
    <row r="164" spans="1:4" x14ac:dyDescent="0.25">
      <c r="A164" s="23">
        <v>163</v>
      </c>
      <c r="B164" s="34" t="s">
        <v>3202</v>
      </c>
      <c r="C164" t="s">
        <v>1453</v>
      </c>
      <c r="D164" s="33">
        <v>110</v>
      </c>
    </row>
    <row r="165" spans="1:4" x14ac:dyDescent="0.25">
      <c r="A165" s="23">
        <v>164</v>
      </c>
      <c r="B165" s="34" t="s">
        <v>3200</v>
      </c>
      <c r="C165" t="s">
        <v>1444</v>
      </c>
      <c r="D165" s="33">
        <v>106.75</v>
      </c>
    </row>
    <row r="166" spans="1:4" x14ac:dyDescent="0.25">
      <c r="B166" s="34" t="s">
        <v>3366</v>
      </c>
      <c r="C166" t="s">
        <v>1341</v>
      </c>
      <c r="D166" s="33" t="s">
        <v>3386</v>
      </c>
    </row>
    <row r="167" spans="1:4" x14ac:dyDescent="0.25">
      <c r="B167" s="34" t="s">
        <v>3369</v>
      </c>
      <c r="C167" t="s">
        <v>1519</v>
      </c>
      <c r="D167" s="33" t="s">
        <v>3386</v>
      </c>
    </row>
    <row r="168" spans="1:4" x14ac:dyDescent="0.25">
      <c r="B168" s="34" t="s">
        <v>3371</v>
      </c>
      <c r="C168" t="s">
        <v>1630</v>
      </c>
      <c r="D168" s="33" t="s">
        <v>3386</v>
      </c>
    </row>
    <row r="169" spans="1:4" x14ac:dyDescent="0.25">
      <c r="B169" s="34" t="s">
        <v>3372</v>
      </c>
      <c r="C169" t="s">
        <v>1698</v>
      </c>
      <c r="D169" s="33" t="s">
        <v>3386</v>
      </c>
    </row>
    <row r="170" spans="1:4" x14ac:dyDescent="0.25">
      <c r="B170" s="34" t="s">
        <v>3373</v>
      </c>
      <c r="C170" t="s">
        <v>1733</v>
      </c>
      <c r="D170" s="33" t="s">
        <v>3386</v>
      </c>
    </row>
    <row r="171" spans="1:4" x14ac:dyDescent="0.25">
      <c r="B171" s="34" t="s">
        <v>3376</v>
      </c>
      <c r="C171" t="s">
        <v>1795</v>
      </c>
      <c r="D171" s="33" t="s">
        <v>3386</v>
      </c>
    </row>
    <row r="172" spans="1:4" x14ac:dyDescent="0.25">
      <c r="B172" s="34" t="s">
        <v>3377</v>
      </c>
      <c r="C172" t="s">
        <v>1851</v>
      </c>
      <c r="D172" s="33" t="s">
        <v>3386</v>
      </c>
    </row>
    <row r="173" spans="1:4" x14ac:dyDescent="0.25">
      <c r="B173" s="34" t="s">
        <v>3378</v>
      </c>
      <c r="C173" t="s">
        <v>1862</v>
      </c>
      <c r="D173" s="33" t="s">
        <v>3386</v>
      </c>
    </row>
    <row r="174" spans="1:4" x14ac:dyDescent="0.25">
      <c r="B174" s="34" t="s">
        <v>3379</v>
      </c>
      <c r="C174" t="s">
        <v>1963</v>
      </c>
      <c r="D174" s="33" t="s">
        <v>3386</v>
      </c>
    </row>
    <row r="175" spans="1:4" x14ac:dyDescent="0.25">
      <c r="B175" s="34" t="s">
        <v>3380</v>
      </c>
      <c r="C175" t="s">
        <v>2029</v>
      </c>
      <c r="D175" s="33" t="s">
        <v>3386</v>
      </c>
    </row>
    <row r="176" spans="1:4" x14ac:dyDescent="0.25">
      <c r="B176" s="34" t="s">
        <v>3381</v>
      </c>
      <c r="C176" t="s">
        <v>2033</v>
      </c>
      <c r="D176" s="33" t="s">
        <v>3386</v>
      </c>
    </row>
    <row r="177" spans="2:4" x14ac:dyDescent="0.25">
      <c r="B177" s="34" t="s">
        <v>3383</v>
      </c>
      <c r="C177" t="s">
        <v>2146</v>
      </c>
      <c r="D177" s="33" t="s">
        <v>3386</v>
      </c>
    </row>
    <row r="178" spans="2:4" x14ac:dyDescent="0.25">
      <c r="B178" s="34" t="s">
        <v>3384</v>
      </c>
      <c r="C178" t="s">
        <v>2192</v>
      </c>
      <c r="D178" s="33" t="s">
        <v>3386</v>
      </c>
    </row>
  </sheetData>
  <sortState xmlns:xlrd2="http://schemas.microsoft.com/office/spreadsheetml/2017/richdata2" ref="A2:D165">
    <sortCondition ref="B2:B16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78E09-2338-48F3-AD83-1D0E6DEBDF63}">
  <sheetPr codeName="Munka20"/>
  <dimension ref="A1:D20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42578125" style="23" bestFit="1" customWidth="1"/>
    <col min="2" max="2" width="28.5703125" style="34" bestFit="1" customWidth="1"/>
    <col min="3" max="3" width="25.28515625" bestFit="1" customWidth="1"/>
    <col min="4" max="4" width="11.5703125" style="33" bestFit="1" customWidth="1"/>
  </cols>
  <sheetData>
    <row r="1" spans="1:4" s="26" customFormat="1" x14ac:dyDescent="0.25">
      <c r="A1" s="22" t="s">
        <v>1086</v>
      </c>
      <c r="B1" s="43" t="s">
        <v>3143</v>
      </c>
      <c r="C1" s="26" t="s">
        <v>1050</v>
      </c>
      <c r="D1" s="44" t="s">
        <v>692</v>
      </c>
    </row>
    <row r="2" spans="1:4" x14ac:dyDescent="0.25">
      <c r="A2" s="23">
        <v>1</v>
      </c>
      <c r="B2" s="34" t="s">
        <v>3312</v>
      </c>
      <c r="C2" t="s">
        <v>2089</v>
      </c>
      <c r="D2" s="33">
        <v>188.25</v>
      </c>
    </row>
    <row r="3" spans="1:4" x14ac:dyDescent="0.25">
      <c r="A3" s="23">
        <v>2</v>
      </c>
      <c r="B3" s="34" t="s">
        <v>3244</v>
      </c>
      <c r="C3" t="s">
        <v>1672</v>
      </c>
      <c r="D3" s="33">
        <v>187.5</v>
      </c>
    </row>
    <row r="4" spans="1:4" x14ac:dyDescent="0.25">
      <c r="A4" s="23">
        <v>3</v>
      </c>
      <c r="B4" s="34" t="s">
        <v>3247</v>
      </c>
      <c r="C4" t="s">
        <v>1684</v>
      </c>
      <c r="D4" s="33">
        <v>185</v>
      </c>
    </row>
    <row r="5" spans="1:4" x14ac:dyDescent="0.25">
      <c r="A5" s="23">
        <v>4</v>
      </c>
      <c r="B5" s="34" t="s">
        <v>3352</v>
      </c>
      <c r="C5" t="s">
        <v>2300</v>
      </c>
      <c r="D5" s="33">
        <v>184.5</v>
      </c>
    </row>
    <row r="6" spans="1:4" x14ac:dyDescent="0.25">
      <c r="A6" s="23">
        <v>5</v>
      </c>
      <c r="B6" s="34" t="s">
        <v>3201</v>
      </c>
      <c r="C6" t="s">
        <v>1450</v>
      </c>
      <c r="D6" s="33">
        <v>182</v>
      </c>
    </row>
    <row r="7" spans="1:4" x14ac:dyDescent="0.25">
      <c r="A7" s="23">
        <v>6</v>
      </c>
      <c r="B7" s="34" t="s">
        <v>3211</v>
      </c>
      <c r="C7" t="s">
        <v>1497</v>
      </c>
      <c r="D7" s="33">
        <v>181.75</v>
      </c>
    </row>
    <row r="8" spans="1:4" x14ac:dyDescent="0.25">
      <c r="A8" s="23">
        <v>7</v>
      </c>
      <c r="B8" s="34" t="s">
        <v>3237</v>
      </c>
      <c r="C8" t="s">
        <v>1640</v>
      </c>
      <c r="D8" s="33">
        <v>181.25</v>
      </c>
    </row>
    <row r="9" spans="1:4" x14ac:dyDescent="0.25">
      <c r="A9" s="23">
        <v>8</v>
      </c>
      <c r="B9" s="34" t="s">
        <v>3226</v>
      </c>
      <c r="C9" t="s">
        <v>1579</v>
      </c>
      <c r="D9" s="33">
        <v>180.5</v>
      </c>
    </row>
    <row r="10" spans="1:4" x14ac:dyDescent="0.25">
      <c r="A10" s="23">
        <v>9</v>
      </c>
      <c r="B10" s="34" t="s">
        <v>3153</v>
      </c>
      <c r="C10" t="s">
        <v>1197</v>
      </c>
      <c r="D10" s="33">
        <v>180.5</v>
      </c>
    </row>
    <row r="11" spans="1:4" x14ac:dyDescent="0.25">
      <c r="A11" s="23">
        <v>10</v>
      </c>
      <c r="B11" s="34" t="s">
        <v>3292</v>
      </c>
      <c r="C11" t="s">
        <v>1954</v>
      </c>
      <c r="D11" s="33">
        <v>180.5</v>
      </c>
    </row>
    <row r="12" spans="1:4" x14ac:dyDescent="0.25">
      <c r="A12" s="23">
        <v>11</v>
      </c>
      <c r="B12" s="34" t="s">
        <v>3326</v>
      </c>
      <c r="C12" t="s">
        <v>2162</v>
      </c>
      <c r="D12" s="33">
        <v>178.75</v>
      </c>
    </row>
    <row r="13" spans="1:4" x14ac:dyDescent="0.25">
      <c r="A13" s="23">
        <v>12</v>
      </c>
      <c r="B13" s="34" t="s">
        <v>3290</v>
      </c>
      <c r="C13" t="s">
        <v>1944</v>
      </c>
      <c r="D13" s="33">
        <v>178.25</v>
      </c>
    </row>
    <row r="14" spans="1:4" x14ac:dyDescent="0.25">
      <c r="A14" s="23">
        <v>13</v>
      </c>
      <c r="B14" s="34" t="s">
        <v>3332</v>
      </c>
      <c r="C14" t="s">
        <v>2187</v>
      </c>
      <c r="D14" s="33">
        <v>177.25</v>
      </c>
    </row>
    <row r="15" spans="1:4" x14ac:dyDescent="0.25">
      <c r="A15" s="23">
        <v>14</v>
      </c>
      <c r="B15" s="34" t="s">
        <v>3355</v>
      </c>
      <c r="C15" t="s">
        <v>2314</v>
      </c>
      <c r="D15" s="33">
        <v>175.75</v>
      </c>
    </row>
    <row r="16" spans="1:4" x14ac:dyDescent="0.25">
      <c r="A16" s="23">
        <v>15</v>
      </c>
      <c r="B16" s="34" t="s">
        <v>3309</v>
      </c>
      <c r="C16" t="s">
        <v>2075</v>
      </c>
      <c r="D16" s="33">
        <v>175.75</v>
      </c>
    </row>
    <row r="17" spans="1:4" x14ac:dyDescent="0.25">
      <c r="A17" s="23">
        <v>16</v>
      </c>
      <c r="B17" s="34" t="s">
        <v>3305</v>
      </c>
      <c r="C17" t="s">
        <v>2038</v>
      </c>
      <c r="D17" s="33">
        <v>175.5</v>
      </c>
    </row>
    <row r="18" spans="1:4" x14ac:dyDescent="0.25">
      <c r="A18" s="23">
        <v>17</v>
      </c>
      <c r="B18" s="34" t="s">
        <v>3233</v>
      </c>
      <c r="C18" t="s">
        <v>1616</v>
      </c>
      <c r="D18" s="33">
        <v>175.5</v>
      </c>
    </row>
    <row r="19" spans="1:4" x14ac:dyDescent="0.25">
      <c r="A19" s="23">
        <v>18</v>
      </c>
      <c r="B19" s="34" t="s">
        <v>3195</v>
      </c>
      <c r="C19" t="s">
        <v>1427</v>
      </c>
      <c r="D19" s="33">
        <v>175.25</v>
      </c>
    </row>
    <row r="20" spans="1:4" x14ac:dyDescent="0.25">
      <c r="A20" s="23">
        <v>19</v>
      </c>
      <c r="B20" s="34" t="s">
        <v>3203</v>
      </c>
      <c r="C20" t="s">
        <v>1459</v>
      </c>
      <c r="D20" s="33">
        <v>175.25</v>
      </c>
    </row>
    <row r="21" spans="1:4" x14ac:dyDescent="0.25">
      <c r="A21" s="23">
        <v>20</v>
      </c>
      <c r="B21" s="34" t="s">
        <v>3271</v>
      </c>
      <c r="C21" t="s">
        <v>1840</v>
      </c>
      <c r="D21" s="33">
        <v>175.25</v>
      </c>
    </row>
    <row r="22" spans="1:4" x14ac:dyDescent="0.25">
      <c r="A22" s="23">
        <v>21</v>
      </c>
      <c r="B22" s="34" t="s">
        <v>3215</v>
      </c>
      <c r="C22" t="s">
        <v>1523</v>
      </c>
      <c r="D22" s="33">
        <v>175.25</v>
      </c>
    </row>
    <row r="23" spans="1:4" x14ac:dyDescent="0.25">
      <c r="A23" s="23">
        <v>22</v>
      </c>
      <c r="B23" s="34" t="s">
        <v>3323</v>
      </c>
      <c r="C23" t="s">
        <v>2141</v>
      </c>
      <c r="D23" s="33">
        <v>174</v>
      </c>
    </row>
    <row r="24" spans="1:4" x14ac:dyDescent="0.25">
      <c r="A24" s="23">
        <v>23</v>
      </c>
      <c r="B24" s="34" t="s">
        <v>3282</v>
      </c>
      <c r="C24" t="s">
        <v>1906</v>
      </c>
      <c r="D24" s="33">
        <v>173.75</v>
      </c>
    </row>
    <row r="25" spans="1:4" x14ac:dyDescent="0.25">
      <c r="A25" s="23">
        <v>24</v>
      </c>
      <c r="B25" s="34" t="s">
        <v>3238</v>
      </c>
      <c r="C25" t="s">
        <v>1644</v>
      </c>
      <c r="D25" s="33">
        <v>173.75</v>
      </c>
    </row>
    <row r="26" spans="1:4" x14ac:dyDescent="0.25">
      <c r="A26" s="23">
        <v>25</v>
      </c>
      <c r="B26" s="34" t="s">
        <v>3356</v>
      </c>
      <c r="C26" t="s">
        <v>2319</v>
      </c>
      <c r="D26" s="33">
        <v>173.25</v>
      </c>
    </row>
    <row r="27" spans="1:4" x14ac:dyDescent="0.25">
      <c r="A27" s="23">
        <v>26</v>
      </c>
      <c r="B27" s="34" t="s">
        <v>3331</v>
      </c>
      <c r="C27" t="s">
        <v>2183</v>
      </c>
      <c r="D27" s="33">
        <v>173.25</v>
      </c>
    </row>
    <row r="28" spans="1:4" x14ac:dyDescent="0.25">
      <c r="A28" s="23">
        <v>27</v>
      </c>
      <c r="B28" s="34" t="s">
        <v>1988</v>
      </c>
      <c r="C28" t="s">
        <v>1984</v>
      </c>
      <c r="D28" s="33">
        <v>172.75</v>
      </c>
    </row>
    <row r="29" spans="1:4" x14ac:dyDescent="0.25">
      <c r="A29" s="23">
        <v>28</v>
      </c>
      <c r="B29" s="34" t="s">
        <v>3194</v>
      </c>
      <c r="C29" t="s">
        <v>1422</v>
      </c>
      <c r="D29" s="33">
        <v>172.5</v>
      </c>
    </row>
    <row r="30" spans="1:4" x14ac:dyDescent="0.25">
      <c r="A30" s="23">
        <v>29</v>
      </c>
      <c r="B30" s="34" t="s">
        <v>3284</v>
      </c>
      <c r="C30" t="s">
        <v>1915</v>
      </c>
      <c r="D30" s="33">
        <v>172.5</v>
      </c>
    </row>
    <row r="31" spans="1:4" x14ac:dyDescent="0.25">
      <c r="A31" s="23">
        <v>30</v>
      </c>
      <c r="B31" s="34" t="s">
        <v>3206</v>
      </c>
      <c r="C31" t="s">
        <v>1473</v>
      </c>
      <c r="D31" s="33">
        <v>172.5</v>
      </c>
    </row>
    <row r="32" spans="1:4" x14ac:dyDescent="0.25">
      <c r="A32" s="23">
        <v>31</v>
      </c>
      <c r="B32" s="34" t="s">
        <v>3346</v>
      </c>
      <c r="C32" t="s">
        <v>2266</v>
      </c>
      <c r="D32" s="33">
        <v>171.75</v>
      </c>
    </row>
    <row r="33" spans="1:4" x14ac:dyDescent="0.25">
      <c r="A33" s="23">
        <v>32</v>
      </c>
      <c r="B33" s="34" t="s">
        <v>3252</v>
      </c>
      <c r="C33" t="s">
        <v>1718</v>
      </c>
      <c r="D33" s="33">
        <v>171.5</v>
      </c>
    </row>
    <row r="34" spans="1:4" x14ac:dyDescent="0.25">
      <c r="A34" s="23">
        <v>33</v>
      </c>
      <c r="B34" s="34" t="s">
        <v>3347</v>
      </c>
      <c r="C34" t="s">
        <v>2276</v>
      </c>
      <c r="D34" s="33">
        <v>171.25</v>
      </c>
    </row>
    <row r="35" spans="1:4" x14ac:dyDescent="0.25">
      <c r="A35" s="23">
        <v>34</v>
      </c>
      <c r="B35" s="34" t="s">
        <v>3279</v>
      </c>
      <c r="C35" t="s">
        <v>1891</v>
      </c>
      <c r="D35" s="33">
        <v>171</v>
      </c>
    </row>
    <row r="36" spans="1:4" x14ac:dyDescent="0.25">
      <c r="A36" s="23">
        <v>35</v>
      </c>
      <c r="B36" s="34" t="s">
        <v>3223</v>
      </c>
      <c r="C36" t="s">
        <v>1554</v>
      </c>
      <c r="D36" s="33">
        <v>170.84</v>
      </c>
    </row>
    <row r="37" spans="1:4" x14ac:dyDescent="0.25">
      <c r="A37" s="23">
        <v>36</v>
      </c>
      <c r="B37" s="34" t="s">
        <v>3299</v>
      </c>
      <c r="C37" t="s">
        <v>1999</v>
      </c>
      <c r="D37" s="33">
        <v>170.5</v>
      </c>
    </row>
    <row r="38" spans="1:4" x14ac:dyDescent="0.25">
      <c r="A38" s="23">
        <v>37</v>
      </c>
      <c r="B38" s="34" t="s">
        <v>3270</v>
      </c>
      <c r="C38" t="s">
        <v>1835</v>
      </c>
      <c r="D38" s="33">
        <v>170</v>
      </c>
    </row>
    <row r="39" spans="1:4" x14ac:dyDescent="0.25">
      <c r="A39" s="23">
        <v>38</v>
      </c>
      <c r="B39" s="34" t="s">
        <v>3293</v>
      </c>
      <c r="C39" t="s">
        <v>1958</v>
      </c>
      <c r="D39" s="33">
        <v>169.75</v>
      </c>
    </row>
    <row r="40" spans="1:4" x14ac:dyDescent="0.25">
      <c r="A40" s="23">
        <v>39</v>
      </c>
      <c r="B40" s="34" t="s">
        <v>3327</v>
      </c>
      <c r="C40" t="s">
        <v>2166</v>
      </c>
      <c r="D40" s="33">
        <v>169.75</v>
      </c>
    </row>
    <row r="41" spans="1:4" x14ac:dyDescent="0.25">
      <c r="A41" s="23">
        <v>40</v>
      </c>
      <c r="B41" s="34" t="s">
        <v>3333</v>
      </c>
      <c r="C41" t="s">
        <v>2197</v>
      </c>
      <c r="D41" s="33">
        <v>169.25</v>
      </c>
    </row>
    <row r="42" spans="1:4" x14ac:dyDescent="0.25">
      <c r="A42" s="23">
        <v>41</v>
      </c>
      <c r="B42" s="34" t="s">
        <v>3145</v>
      </c>
      <c r="C42" t="s">
        <v>1158</v>
      </c>
      <c r="D42" s="33">
        <v>168.75</v>
      </c>
    </row>
    <row r="43" spans="1:4" x14ac:dyDescent="0.25">
      <c r="A43" s="23">
        <v>42</v>
      </c>
      <c r="B43" s="34" t="s">
        <v>3187</v>
      </c>
      <c r="C43" t="s">
        <v>1381</v>
      </c>
      <c r="D43" s="33">
        <v>168.75</v>
      </c>
    </row>
    <row r="44" spans="1:4" x14ac:dyDescent="0.25">
      <c r="A44" s="23">
        <v>43</v>
      </c>
      <c r="B44" s="34" t="s">
        <v>2048</v>
      </c>
      <c r="C44" t="s">
        <v>2043</v>
      </c>
      <c r="D44" s="33">
        <v>168</v>
      </c>
    </row>
    <row r="45" spans="1:4" x14ac:dyDescent="0.25">
      <c r="A45" s="23">
        <v>44</v>
      </c>
      <c r="B45" s="34" t="s">
        <v>3257</v>
      </c>
      <c r="C45" t="s">
        <v>3390</v>
      </c>
      <c r="D45" s="33">
        <v>168</v>
      </c>
    </row>
    <row r="46" spans="1:4" x14ac:dyDescent="0.25">
      <c r="A46" s="23">
        <v>45</v>
      </c>
      <c r="B46" s="34" t="s">
        <v>3313</v>
      </c>
      <c r="C46" t="s">
        <v>2094</v>
      </c>
      <c r="D46" s="33">
        <v>168</v>
      </c>
    </row>
    <row r="47" spans="1:4" x14ac:dyDescent="0.25">
      <c r="A47" s="23">
        <v>46</v>
      </c>
      <c r="B47" s="34" t="s">
        <v>3144</v>
      </c>
      <c r="C47" t="s">
        <v>1154</v>
      </c>
      <c r="D47" s="33">
        <v>167.29</v>
      </c>
    </row>
    <row r="48" spans="1:4" x14ac:dyDescent="0.25">
      <c r="A48" s="23">
        <v>47</v>
      </c>
      <c r="B48" s="34" t="s">
        <v>3160</v>
      </c>
      <c r="C48" t="s">
        <v>1236</v>
      </c>
      <c r="D48" s="33">
        <v>166.75</v>
      </c>
    </row>
    <row r="49" spans="1:4" x14ac:dyDescent="0.25">
      <c r="A49" s="23">
        <v>48</v>
      </c>
      <c r="B49" s="34" t="s">
        <v>3320</v>
      </c>
      <c r="C49" t="s">
        <v>2125</v>
      </c>
      <c r="D49" s="33">
        <v>166.75</v>
      </c>
    </row>
    <row r="50" spans="1:4" x14ac:dyDescent="0.25">
      <c r="A50" s="23">
        <v>49</v>
      </c>
      <c r="B50" s="34" t="s">
        <v>3168</v>
      </c>
      <c r="C50" t="s">
        <v>1276</v>
      </c>
      <c r="D50" s="33">
        <v>166.68</v>
      </c>
    </row>
    <row r="51" spans="1:4" x14ac:dyDescent="0.25">
      <c r="A51" s="23">
        <v>50</v>
      </c>
      <c r="B51" s="34" t="s">
        <v>3239</v>
      </c>
      <c r="C51" t="s">
        <v>1648</v>
      </c>
      <c r="D51" s="33">
        <v>166.5</v>
      </c>
    </row>
    <row r="52" spans="1:4" x14ac:dyDescent="0.25">
      <c r="A52" s="23">
        <v>51</v>
      </c>
      <c r="B52" s="34" t="s">
        <v>3182</v>
      </c>
      <c r="C52" t="s">
        <v>1357</v>
      </c>
      <c r="D52" s="33">
        <v>166</v>
      </c>
    </row>
    <row r="53" spans="1:4" x14ac:dyDescent="0.25">
      <c r="A53" s="23">
        <v>52</v>
      </c>
      <c r="B53" s="34" t="s">
        <v>3152</v>
      </c>
      <c r="C53" t="s">
        <v>1192</v>
      </c>
      <c r="D53" s="33">
        <v>165.75</v>
      </c>
    </row>
    <row r="54" spans="1:4" x14ac:dyDescent="0.25">
      <c r="A54" s="23">
        <v>53</v>
      </c>
      <c r="B54" s="34" t="s">
        <v>3188</v>
      </c>
      <c r="C54" t="s">
        <v>1385</v>
      </c>
      <c r="D54" s="33">
        <v>165.75</v>
      </c>
    </row>
    <row r="55" spans="1:4" x14ac:dyDescent="0.25">
      <c r="A55" s="23">
        <v>54</v>
      </c>
      <c r="B55" s="34" t="s">
        <v>3176</v>
      </c>
      <c r="C55" t="s">
        <v>1318</v>
      </c>
      <c r="D55" s="33">
        <v>165.25</v>
      </c>
    </row>
    <row r="56" spans="1:4" x14ac:dyDescent="0.25">
      <c r="A56" s="23">
        <v>55</v>
      </c>
      <c r="B56" s="34" t="s">
        <v>3169</v>
      </c>
      <c r="C56" t="s">
        <v>1282</v>
      </c>
      <c r="D56" s="33">
        <v>165</v>
      </c>
    </row>
    <row r="57" spans="1:4" x14ac:dyDescent="0.25">
      <c r="A57" s="23">
        <v>56</v>
      </c>
      <c r="B57" s="34" t="s">
        <v>3229</v>
      </c>
      <c r="C57" t="s">
        <v>1595</v>
      </c>
      <c r="D57" s="33">
        <v>164.75</v>
      </c>
    </row>
    <row r="58" spans="1:4" x14ac:dyDescent="0.25">
      <c r="A58" s="23">
        <v>57</v>
      </c>
      <c r="B58" s="34" t="s">
        <v>3364</v>
      </c>
      <c r="C58" t="s">
        <v>2819</v>
      </c>
      <c r="D58" s="33">
        <v>164.5</v>
      </c>
    </row>
    <row r="59" spans="1:4" x14ac:dyDescent="0.25">
      <c r="A59" s="23">
        <v>58</v>
      </c>
      <c r="B59" s="34" t="s">
        <v>3339</v>
      </c>
      <c r="C59" t="s">
        <v>2228</v>
      </c>
      <c r="D59" s="33">
        <v>164.5</v>
      </c>
    </row>
    <row r="60" spans="1:4" x14ac:dyDescent="0.25">
      <c r="A60" s="23">
        <v>59</v>
      </c>
      <c r="B60" s="34" t="s">
        <v>3204</v>
      </c>
      <c r="C60" t="s">
        <v>795</v>
      </c>
      <c r="D60" s="33">
        <v>163.80000000000001</v>
      </c>
    </row>
    <row r="61" spans="1:4" x14ac:dyDescent="0.25">
      <c r="A61" s="23">
        <v>60</v>
      </c>
      <c r="B61" s="34" t="s">
        <v>3207</v>
      </c>
      <c r="C61" t="s">
        <v>1478</v>
      </c>
      <c r="D61" s="33">
        <v>163.75</v>
      </c>
    </row>
    <row r="62" spans="1:4" x14ac:dyDescent="0.25">
      <c r="A62" s="23">
        <v>61</v>
      </c>
      <c r="B62" s="34" t="s">
        <v>3170</v>
      </c>
      <c r="C62" t="s">
        <v>1288</v>
      </c>
      <c r="D62" s="33">
        <v>163.25</v>
      </c>
    </row>
    <row r="63" spans="1:4" x14ac:dyDescent="0.25">
      <c r="A63" s="23">
        <v>62</v>
      </c>
      <c r="B63" s="34" t="s">
        <v>3184</v>
      </c>
      <c r="C63" t="s">
        <v>1366</v>
      </c>
      <c r="D63" s="33">
        <v>162.75</v>
      </c>
    </row>
    <row r="64" spans="1:4" x14ac:dyDescent="0.25">
      <c r="A64" s="23">
        <v>63</v>
      </c>
      <c r="B64" s="34" t="s">
        <v>3155</v>
      </c>
      <c r="C64" t="s">
        <v>1205</v>
      </c>
      <c r="D64" s="33">
        <v>162.75</v>
      </c>
    </row>
    <row r="65" spans="1:4" x14ac:dyDescent="0.25">
      <c r="A65" s="23">
        <v>64</v>
      </c>
      <c r="B65" s="34" t="s">
        <v>3298</v>
      </c>
      <c r="C65" t="s">
        <v>1994</v>
      </c>
      <c r="D65" s="33">
        <v>162.75</v>
      </c>
    </row>
    <row r="66" spans="1:4" x14ac:dyDescent="0.25">
      <c r="A66" s="23">
        <v>65</v>
      </c>
      <c r="B66" s="34" t="s">
        <v>1811</v>
      </c>
      <c r="C66" t="s">
        <v>1806</v>
      </c>
      <c r="D66" s="33">
        <v>162.5</v>
      </c>
    </row>
    <row r="67" spans="1:4" x14ac:dyDescent="0.25">
      <c r="A67" s="23">
        <v>66</v>
      </c>
      <c r="B67" s="34" t="s">
        <v>3268</v>
      </c>
      <c r="C67" t="s">
        <v>1825</v>
      </c>
      <c r="D67" s="33">
        <v>162.25</v>
      </c>
    </row>
    <row r="68" spans="1:4" x14ac:dyDescent="0.25">
      <c r="A68" s="23">
        <v>67</v>
      </c>
      <c r="B68" s="34" t="s">
        <v>3186</v>
      </c>
      <c r="C68" t="s">
        <v>1377</v>
      </c>
      <c r="D68" s="33">
        <v>161.84</v>
      </c>
    </row>
    <row r="69" spans="1:4" x14ac:dyDescent="0.25">
      <c r="A69" s="23">
        <v>68</v>
      </c>
      <c r="B69" s="34" t="s">
        <v>3361</v>
      </c>
      <c r="C69" t="s">
        <v>2348</v>
      </c>
      <c r="D69" s="33">
        <v>161.5</v>
      </c>
    </row>
    <row r="70" spans="1:4" x14ac:dyDescent="0.25">
      <c r="A70" s="23">
        <v>69</v>
      </c>
      <c r="B70" s="34" t="s">
        <v>3310</v>
      </c>
      <c r="C70" t="s">
        <v>2081</v>
      </c>
      <c r="D70" s="33">
        <v>161.5</v>
      </c>
    </row>
    <row r="71" spans="1:4" x14ac:dyDescent="0.25">
      <c r="A71" s="23">
        <v>70</v>
      </c>
      <c r="B71" s="34" t="s">
        <v>3359</v>
      </c>
      <c r="C71" t="s">
        <v>2339</v>
      </c>
      <c r="D71" s="33">
        <v>160.5</v>
      </c>
    </row>
    <row r="72" spans="1:4" x14ac:dyDescent="0.25">
      <c r="A72" s="23">
        <v>71</v>
      </c>
      <c r="B72" s="34" t="s">
        <v>3147</v>
      </c>
      <c r="C72" t="s">
        <v>1168</v>
      </c>
      <c r="D72" s="33">
        <v>160.5</v>
      </c>
    </row>
    <row r="73" spans="1:4" x14ac:dyDescent="0.25">
      <c r="A73" s="23">
        <v>72</v>
      </c>
      <c r="B73" s="34" t="s">
        <v>3325</v>
      </c>
      <c r="C73" t="s">
        <v>2156</v>
      </c>
      <c r="D73" s="33">
        <v>160.5</v>
      </c>
    </row>
    <row r="74" spans="1:4" x14ac:dyDescent="0.25">
      <c r="A74" s="23">
        <v>73</v>
      </c>
      <c r="B74" s="34" t="s">
        <v>3178</v>
      </c>
      <c r="C74" t="s">
        <v>1330</v>
      </c>
      <c r="D74" s="33">
        <v>159.75</v>
      </c>
    </row>
    <row r="75" spans="1:4" x14ac:dyDescent="0.25">
      <c r="A75" s="23">
        <v>74</v>
      </c>
      <c r="B75" s="34" t="s">
        <v>3349</v>
      </c>
      <c r="C75" t="s">
        <v>2286</v>
      </c>
      <c r="D75" s="33">
        <v>159.25</v>
      </c>
    </row>
    <row r="76" spans="1:4" x14ac:dyDescent="0.25">
      <c r="A76" s="23">
        <v>75</v>
      </c>
      <c r="B76" s="34" t="s">
        <v>3235</v>
      </c>
      <c r="C76" t="s">
        <v>1626</v>
      </c>
      <c r="D76" s="33">
        <v>159.25</v>
      </c>
    </row>
    <row r="77" spans="1:4" x14ac:dyDescent="0.25">
      <c r="A77" s="23">
        <v>76</v>
      </c>
      <c r="B77" s="34" t="s">
        <v>3322</v>
      </c>
      <c r="C77" t="s">
        <v>2136</v>
      </c>
      <c r="D77" s="33">
        <v>159.05000000000001</v>
      </c>
    </row>
    <row r="78" spans="1:4" x14ac:dyDescent="0.25">
      <c r="A78" s="23">
        <v>77</v>
      </c>
      <c r="B78" s="34" t="s">
        <v>2275</v>
      </c>
      <c r="C78" t="s">
        <v>2270</v>
      </c>
      <c r="D78" s="33">
        <v>159</v>
      </c>
    </row>
    <row r="79" spans="1:4" x14ac:dyDescent="0.25">
      <c r="A79" s="23">
        <v>78</v>
      </c>
      <c r="B79" s="34" t="s">
        <v>3193</v>
      </c>
      <c r="C79" t="s">
        <v>1417</v>
      </c>
      <c r="D79" s="33">
        <v>158.5</v>
      </c>
    </row>
    <row r="80" spans="1:4" x14ac:dyDescent="0.25">
      <c r="A80" s="23">
        <v>79</v>
      </c>
      <c r="B80" s="34" t="s">
        <v>3219</v>
      </c>
      <c r="C80" t="s">
        <v>1540</v>
      </c>
      <c r="D80" s="33">
        <v>157.79</v>
      </c>
    </row>
    <row r="81" spans="1:4" x14ac:dyDescent="0.25">
      <c r="A81" s="23">
        <v>80</v>
      </c>
      <c r="B81" s="34" t="s">
        <v>3225</v>
      </c>
      <c r="C81" t="s">
        <v>3388</v>
      </c>
      <c r="D81" s="33">
        <v>157.5</v>
      </c>
    </row>
    <row r="82" spans="1:4" x14ac:dyDescent="0.25">
      <c r="A82" s="23">
        <v>81</v>
      </c>
      <c r="B82" s="34" t="s">
        <v>3348</v>
      </c>
      <c r="C82" t="s">
        <v>2281</v>
      </c>
      <c r="D82" s="33">
        <v>157.25</v>
      </c>
    </row>
    <row r="83" spans="1:4" x14ac:dyDescent="0.25">
      <c r="A83" s="23">
        <v>82</v>
      </c>
      <c r="B83" s="34" t="s">
        <v>3288</v>
      </c>
      <c r="C83" t="s">
        <v>1932</v>
      </c>
      <c r="D83" s="33">
        <v>157</v>
      </c>
    </row>
    <row r="84" spans="1:4" x14ac:dyDescent="0.25">
      <c r="A84" s="23">
        <v>83</v>
      </c>
      <c r="B84" s="34" t="s">
        <v>3341</v>
      </c>
      <c r="C84" t="s">
        <v>2239</v>
      </c>
      <c r="D84" s="33">
        <v>157</v>
      </c>
    </row>
    <row r="85" spans="1:4" x14ac:dyDescent="0.25">
      <c r="A85" s="23">
        <v>84</v>
      </c>
      <c r="B85" s="34" t="s">
        <v>3303</v>
      </c>
      <c r="C85" t="s">
        <v>2018</v>
      </c>
      <c r="D85" s="33">
        <v>156.75</v>
      </c>
    </row>
    <row r="86" spans="1:4" x14ac:dyDescent="0.25">
      <c r="A86" s="23">
        <v>85</v>
      </c>
      <c r="B86" s="34" t="s">
        <v>3343</v>
      </c>
      <c r="C86" t="s">
        <v>2248</v>
      </c>
      <c r="D86" s="33">
        <v>156</v>
      </c>
    </row>
    <row r="87" spans="1:4" x14ac:dyDescent="0.25">
      <c r="A87" s="23">
        <v>86</v>
      </c>
      <c r="B87" s="34" t="s">
        <v>3234</v>
      </c>
      <c r="C87" t="s">
        <v>1621</v>
      </c>
      <c r="D87" s="33">
        <v>155.75</v>
      </c>
    </row>
    <row r="88" spans="1:4" x14ac:dyDescent="0.25">
      <c r="A88" s="23">
        <v>87</v>
      </c>
      <c r="B88" s="34" t="s">
        <v>3205</v>
      </c>
      <c r="C88" t="s">
        <v>1468</v>
      </c>
      <c r="D88" s="33">
        <v>155.5</v>
      </c>
    </row>
    <row r="89" spans="1:4" x14ac:dyDescent="0.25">
      <c r="A89" s="23">
        <v>88</v>
      </c>
      <c r="B89" s="34" t="s">
        <v>3191</v>
      </c>
      <c r="C89" t="s">
        <v>1408</v>
      </c>
      <c r="D89" s="33">
        <v>155.5</v>
      </c>
    </row>
    <row r="90" spans="1:4" x14ac:dyDescent="0.25">
      <c r="A90" s="23">
        <v>89</v>
      </c>
      <c r="B90" s="34" t="s">
        <v>3335</v>
      </c>
      <c r="C90" t="s">
        <v>2206</v>
      </c>
      <c r="D90" s="33">
        <v>155.5</v>
      </c>
    </row>
    <row r="91" spans="1:4" x14ac:dyDescent="0.25">
      <c r="A91" s="23">
        <v>90</v>
      </c>
      <c r="B91" s="34" t="s">
        <v>3311</v>
      </c>
      <c r="C91" t="s">
        <v>2085</v>
      </c>
      <c r="D91" s="33">
        <v>155</v>
      </c>
    </row>
    <row r="92" spans="1:4" x14ac:dyDescent="0.25">
      <c r="A92" s="23">
        <v>91</v>
      </c>
      <c r="B92" s="34" t="s">
        <v>3197</v>
      </c>
      <c r="C92" t="s">
        <v>1435</v>
      </c>
      <c r="D92" s="33">
        <v>155</v>
      </c>
    </row>
    <row r="93" spans="1:4" x14ac:dyDescent="0.25">
      <c r="A93" s="23">
        <v>92</v>
      </c>
      <c r="B93" s="34" t="s">
        <v>3277</v>
      </c>
      <c r="C93" t="s">
        <v>1883</v>
      </c>
      <c r="D93" s="33">
        <v>154.75</v>
      </c>
    </row>
    <row r="94" spans="1:4" x14ac:dyDescent="0.25">
      <c r="A94" s="23">
        <v>93</v>
      </c>
      <c r="B94" s="34" t="s">
        <v>3338</v>
      </c>
      <c r="C94" t="s">
        <v>2222</v>
      </c>
      <c r="D94" s="33">
        <v>154.75</v>
      </c>
    </row>
    <row r="95" spans="1:4" x14ac:dyDescent="0.25">
      <c r="A95" s="23">
        <v>94</v>
      </c>
      <c r="B95" s="34" t="s">
        <v>3164</v>
      </c>
      <c r="C95" t="s">
        <v>1257</v>
      </c>
      <c r="D95" s="33">
        <v>154.54</v>
      </c>
    </row>
    <row r="96" spans="1:4" x14ac:dyDescent="0.25">
      <c r="A96" s="23">
        <v>95</v>
      </c>
      <c r="B96" s="34" t="s">
        <v>3315</v>
      </c>
      <c r="C96" t="s">
        <v>2103</v>
      </c>
      <c r="D96" s="33">
        <v>154.25</v>
      </c>
    </row>
    <row r="97" spans="1:4" x14ac:dyDescent="0.25">
      <c r="A97" s="23">
        <v>96</v>
      </c>
      <c r="B97" s="34" t="s">
        <v>3340</v>
      </c>
      <c r="C97" t="s">
        <v>2234</v>
      </c>
      <c r="D97" s="33">
        <v>154.25</v>
      </c>
    </row>
    <row r="98" spans="1:4" x14ac:dyDescent="0.25">
      <c r="A98" s="23">
        <v>97</v>
      </c>
      <c r="B98" s="34" t="s">
        <v>3362</v>
      </c>
      <c r="C98" t="s">
        <v>2354</v>
      </c>
      <c r="D98" s="33">
        <v>154.05000000000001</v>
      </c>
    </row>
    <row r="99" spans="1:4" x14ac:dyDescent="0.25">
      <c r="A99" s="23">
        <v>98</v>
      </c>
      <c r="B99" s="34" t="s">
        <v>3351</v>
      </c>
      <c r="C99" t="s">
        <v>2296</v>
      </c>
      <c r="D99" s="33">
        <v>154</v>
      </c>
    </row>
    <row r="100" spans="1:4" x14ac:dyDescent="0.25">
      <c r="A100" s="23">
        <v>99</v>
      </c>
      <c r="B100" s="34" t="s">
        <v>3314</v>
      </c>
      <c r="C100" t="s">
        <v>2098</v>
      </c>
      <c r="D100" s="33">
        <v>153.75</v>
      </c>
    </row>
    <row r="101" spans="1:4" x14ac:dyDescent="0.25">
      <c r="A101" s="23">
        <v>100</v>
      </c>
      <c r="B101" s="34" t="s">
        <v>3185</v>
      </c>
      <c r="C101" t="s">
        <v>1371</v>
      </c>
      <c r="D101" s="33">
        <v>153.75</v>
      </c>
    </row>
    <row r="102" spans="1:4" x14ac:dyDescent="0.25">
      <c r="A102" s="23">
        <v>101</v>
      </c>
      <c r="B102" s="34" t="s">
        <v>3174</v>
      </c>
      <c r="C102" t="s">
        <v>1307</v>
      </c>
      <c r="D102" s="33">
        <v>153.25</v>
      </c>
    </row>
    <row r="103" spans="1:4" x14ac:dyDescent="0.25">
      <c r="A103" s="23">
        <v>102</v>
      </c>
      <c r="B103" s="34" t="s">
        <v>3222</v>
      </c>
      <c r="C103" t="s">
        <v>1550</v>
      </c>
      <c r="D103" s="33">
        <v>153</v>
      </c>
    </row>
    <row r="104" spans="1:4" x14ac:dyDescent="0.25">
      <c r="A104" s="23">
        <v>103</v>
      </c>
      <c r="B104" s="34" t="s">
        <v>3307</v>
      </c>
      <c r="C104" t="s">
        <v>2059</v>
      </c>
      <c r="D104" s="33">
        <v>153</v>
      </c>
    </row>
    <row r="105" spans="1:4" x14ac:dyDescent="0.25">
      <c r="A105" s="23">
        <v>104</v>
      </c>
      <c r="B105" s="34" t="s">
        <v>3281</v>
      </c>
      <c r="C105" t="s">
        <v>1901</v>
      </c>
      <c r="D105" s="33">
        <v>152.5</v>
      </c>
    </row>
    <row r="106" spans="1:4" x14ac:dyDescent="0.25">
      <c r="A106" s="23">
        <v>105</v>
      </c>
      <c r="B106" s="34" t="s">
        <v>3354</v>
      </c>
      <c r="C106" t="s">
        <v>2310</v>
      </c>
      <c r="D106" s="33">
        <v>152.5</v>
      </c>
    </row>
    <row r="107" spans="1:4" x14ac:dyDescent="0.25">
      <c r="A107" s="23">
        <v>106</v>
      </c>
      <c r="B107" s="34" t="s">
        <v>3350</v>
      </c>
      <c r="C107" t="s">
        <v>2291</v>
      </c>
      <c r="D107" s="33">
        <v>152.25</v>
      </c>
    </row>
    <row r="108" spans="1:4" x14ac:dyDescent="0.25">
      <c r="A108" s="23">
        <v>107</v>
      </c>
      <c r="B108" s="34" t="s">
        <v>3255</v>
      </c>
      <c r="C108" t="s">
        <v>1742</v>
      </c>
      <c r="D108" s="33">
        <v>152.25</v>
      </c>
    </row>
    <row r="109" spans="1:4" x14ac:dyDescent="0.25">
      <c r="A109" s="23">
        <v>108</v>
      </c>
      <c r="B109" s="34" t="s">
        <v>3318</v>
      </c>
      <c r="C109" t="s">
        <v>2117</v>
      </c>
      <c r="D109" s="33">
        <v>151.5</v>
      </c>
    </row>
    <row r="110" spans="1:4" x14ac:dyDescent="0.25">
      <c r="A110" s="23">
        <v>109</v>
      </c>
      <c r="B110" s="34" t="s">
        <v>3260</v>
      </c>
      <c r="C110" t="s">
        <v>1771</v>
      </c>
      <c r="D110" s="33">
        <v>151.25</v>
      </c>
    </row>
    <row r="111" spans="1:4" x14ac:dyDescent="0.25">
      <c r="A111" s="23">
        <v>110</v>
      </c>
      <c r="B111" s="34" t="s">
        <v>3269</v>
      </c>
      <c r="C111" t="s">
        <v>1830</v>
      </c>
      <c r="D111" s="33">
        <v>150.75</v>
      </c>
    </row>
    <row r="112" spans="1:4" x14ac:dyDescent="0.25">
      <c r="A112" s="23">
        <v>111</v>
      </c>
      <c r="B112" s="34" t="s">
        <v>3231</v>
      </c>
      <c r="C112" t="s">
        <v>1605</v>
      </c>
      <c r="D112" s="33">
        <v>150.30000000000001</v>
      </c>
    </row>
    <row r="113" spans="1:4" x14ac:dyDescent="0.25">
      <c r="A113" s="23">
        <v>112</v>
      </c>
      <c r="B113" s="34" t="s">
        <v>3267</v>
      </c>
      <c r="C113" t="s">
        <v>1820</v>
      </c>
      <c r="D113" s="33">
        <v>150.25</v>
      </c>
    </row>
    <row r="114" spans="1:4" x14ac:dyDescent="0.25">
      <c r="A114" s="23">
        <v>113</v>
      </c>
      <c r="B114" s="34" t="s">
        <v>3330</v>
      </c>
      <c r="C114" t="s">
        <v>2178</v>
      </c>
      <c r="D114" s="33">
        <v>150.25</v>
      </c>
    </row>
    <row r="115" spans="1:4" x14ac:dyDescent="0.25">
      <c r="A115" s="23">
        <v>114</v>
      </c>
      <c r="B115" s="34" t="s">
        <v>2074</v>
      </c>
      <c r="C115" t="s">
        <v>2069</v>
      </c>
      <c r="D115" s="33">
        <v>150.12</v>
      </c>
    </row>
    <row r="116" spans="1:4" x14ac:dyDescent="0.25">
      <c r="A116" s="23">
        <v>115</v>
      </c>
      <c r="B116" s="34" t="s">
        <v>3217</v>
      </c>
      <c r="C116" t="s">
        <v>1532</v>
      </c>
      <c r="D116" s="33">
        <v>150</v>
      </c>
    </row>
    <row r="117" spans="1:4" x14ac:dyDescent="0.25">
      <c r="A117" s="23">
        <v>116</v>
      </c>
      <c r="B117" s="34" t="s">
        <v>3196</v>
      </c>
      <c r="C117" t="s">
        <v>1431</v>
      </c>
      <c r="D117" s="33">
        <v>149.75</v>
      </c>
    </row>
    <row r="118" spans="1:4" x14ac:dyDescent="0.25">
      <c r="A118" s="23">
        <v>117</v>
      </c>
      <c r="B118" s="34" t="s">
        <v>3324</v>
      </c>
      <c r="C118" t="s">
        <v>2152</v>
      </c>
      <c r="D118" s="33">
        <v>149.5</v>
      </c>
    </row>
    <row r="119" spans="1:4" x14ac:dyDescent="0.25">
      <c r="A119" s="23">
        <v>118</v>
      </c>
      <c r="B119" s="34" t="s">
        <v>3242</v>
      </c>
      <c r="C119" t="s">
        <v>1661</v>
      </c>
      <c r="D119" s="33">
        <v>148.75</v>
      </c>
    </row>
    <row r="120" spans="1:4" x14ac:dyDescent="0.25">
      <c r="A120" s="23">
        <v>119</v>
      </c>
      <c r="B120" s="34" t="s">
        <v>3280</v>
      </c>
      <c r="C120" t="s">
        <v>1896</v>
      </c>
      <c r="D120" s="33">
        <v>148.75</v>
      </c>
    </row>
    <row r="121" spans="1:4" x14ac:dyDescent="0.25">
      <c r="A121" s="23">
        <v>120</v>
      </c>
      <c r="B121" s="34" t="s">
        <v>3180</v>
      </c>
      <c r="C121" t="s">
        <v>1346</v>
      </c>
      <c r="D121" s="33">
        <v>148.72999999999999</v>
      </c>
    </row>
    <row r="122" spans="1:4" x14ac:dyDescent="0.25">
      <c r="A122" s="23">
        <v>121</v>
      </c>
      <c r="B122" s="34" t="s">
        <v>3256</v>
      </c>
      <c r="C122" t="s">
        <v>1746</v>
      </c>
      <c r="D122" s="33">
        <v>148.68</v>
      </c>
    </row>
    <row r="123" spans="1:4" x14ac:dyDescent="0.25">
      <c r="A123" s="23">
        <v>122</v>
      </c>
      <c r="B123" s="34" t="s">
        <v>3344</v>
      </c>
      <c r="C123" t="s">
        <v>2254</v>
      </c>
      <c r="D123" s="33">
        <v>148.13999999999999</v>
      </c>
    </row>
    <row r="124" spans="1:4" x14ac:dyDescent="0.25">
      <c r="A124" s="23">
        <v>123</v>
      </c>
      <c r="B124" s="34" t="s">
        <v>3228</v>
      </c>
      <c r="C124" t="s">
        <v>3389</v>
      </c>
      <c r="D124" s="33">
        <v>148</v>
      </c>
    </row>
    <row r="125" spans="1:4" x14ac:dyDescent="0.25">
      <c r="A125" s="23">
        <v>124</v>
      </c>
      <c r="B125" s="34" t="s">
        <v>3342</v>
      </c>
      <c r="C125" t="s">
        <v>2244</v>
      </c>
      <c r="D125" s="33">
        <v>147.63</v>
      </c>
    </row>
    <row r="126" spans="1:4" x14ac:dyDescent="0.25">
      <c r="A126" s="23">
        <v>125</v>
      </c>
      <c r="B126" s="34" t="s">
        <v>3336</v>
      </c>
      <c r="C126" t="s">
        <v>2211</v>
      </c>
      <c r="D126" s="33">
        <v>147.25</v>
      </c>
    </row>
    <row r="127" spans="1:4" x14ac:dyDescent="0.25">
      <c r="A127" s="23">
        <v>126</v>
      </c>
      <c r="B127" s="34" t="s">
        <v>3357</v>
      </c>
      <c r="C127" t="s">
        <v>2322</v>
      </c>
      <c r="D127" s="33">
        <v>147.09</v>
      </c>
    </row>
    <row r="128" spans="1:4" x14ac:dyDescent="0.25">
      <c r="A128" s="23">
        <v>127</v>
      </c>
      <c r="B128" s="34" t="s">
        <v>3285</v>
      </c>
      <c r="C128" t="s">
        <v>1920</v>
      </c>
      <c r="D128" s="33">
        <v>146.5</v>
      </c>
    </row>
    <row r="129" spans="1:4" x14ac:dyDescent="0.25">
      <c r="A129" s="23">
        <v>128</v>
      </c>
      <c r="B129" s="34" t="s">
        <v>3317</v>
      </c>
      <c r="C129" t="s">
        <v>2112</v>
      </c>
      <c r="D129" s="33">
        <v>145.93</v>
      </c>
    </row>
    <row r="130" spans="1:4" x14ac:dyDescent="0.25">
      <c r="A130" s="23">
        <v>129</v>
      </c>
      <c r="B130" s="34" t="s">
        <v>3216</v>
      </c>
      <c r="C130" t="s">
        <v>1527</v>
      </c>
      <c r="D130" s="33">
        <v>145.75</v>
      </c>
    </row>
    <row r="131" spans="1:4" x14ac:dyDescent="0.25">
      <c r="A131" s="23">
        <v>130</v>
      </c>
      <c r="B131" s="34" t="s">
        <v>3334</v>
      </c>
      <c r="C131" t="s">
        <v>2202</v>
      </c>
      <c r="D131" s="33">
        <v>145.59</v>
      </c>
    </row>
    <row r="132" spans="1:4" x14ac:dyDescent="0.25">
      <c r="A132" s="23">
        <v>131</v>
      </c>
      <c r="B132" s="34" t="s">
        <v>3329</v>
      </c>
      <c r="C132" t="s">
        <v>2175</v>
      </c>
      <c r="D132" s="33">
        <v>145.5</v>
      </c>
    </row>
    <row r="133" spans="1:4" x14ac:dyDescent="0.25">
      <c r="A133" s="23">
        <v>132</v>
      </c>
      <c r="B133" s="34" t="s">
        <v>3162</v>
      </c>
      <c r="C133" t="s">
        <v>1248</v>
      </c>
      <c r="D133" s="33">
        <v>145.38999999999999</v>
      </c>
    </row>
    <row r="134" spans="1:4" x14ac:dyDescent="0.25">
      <c r="A134" s="23">
        <v>133</v>
      </c>
      <c r="B134" s="34" t="s">
        <v>3297</v>
      </c>
      <c r="C134" t="s">
        <v>1989</v>
      </c>
      <c r="D134" s="33">
        <v>145.30000000000001</v>
      </c>
    </row>
    <row r="135" spans="1:4" x14ac:dyDescent="0.25">
      <c r="A135" s="23">
        <v>134</v>
      </c>
      <c r="B135" s="34" t="s">
        <v>3167</v>
      </c>
      <c r="C135" t="s">
        <v>1271</v>
      </c>
      <c r="D135" s="33">
        <v>145.25</v>
      </c>
    </row>
    <row r="136" spans="1:4" x14ac:dyDescent="0.25">
      <c r="A136" s="23">
        <v>135</v>
      </c>
      <c r="B136" s="34" t="s">
        <v>3275</v>
      </c>
      <c r="C136" t="s">
        <v>1873</v>
      </c>
      <c r="D136" s="33">
        <v>145.02000000000001</v>
      </c>
    </row>
    <row r="137" spans="1:4" x14ac:dyDescent="0.25">
      <c r="A137" s="23">
        <v>136</v>
      </c>
      <c r="B137" s="34" t="s">
        <v>3263</v>
      </c>
      <c r="C137" t="s">
        <v>1790</v>
      </c>
      <c r="D137" s="33">
        <v>143.75</v>
      </c>
    </row>
    <row r="138" spans="1:4" x14ac:dyDescent="0.25">
      <c r="A138" s="23">
        <v>137</v>
      </c>
      <c r="B138" s="34" t="s">
        <v>3300</v>
      </c>
      <c r="C138" t="s">
        <v>2005</v>
      </c>
      <c r="D138" s="33">
        <v>143.75</v>
      </c>
    </row>
    <row r="139" spans="1:4" x14ac:dyDescent="0.25">
      <c r="A139" s="23">
        <v>138</v>
      </c>
      <c r="B139" s="34" t="s">
        <v>3240</v>
      </c>
      <c r="C139" t="s">
        <v>1653</v>
      </c>
      <c r="D139" s="33">
        <v>143.25</v>
      </c>
    </row>
    <row r="140" spans="1:4" x14ac:dyDescent="0.25">
      <c r="A140" s="23">
        <v>139</v>
      </c>
      <c r="B140" s="34" t="s">
        <v>3146</v>
      </c>
      <c r="C140" t="s">
        <v>1162</v>
      </c>
      <c r="D140" s="33">
        <v>142.30000000000001</v>
      </c>
    </row>
    <row r="141" spans="1:4" x14ac:dyDescent="0.25">
      <c r="A141" s="23">
        <v>140</v>
      </c>
      <c r="B141" s="34" t="s">
        <v>3248</v>
      </c>
      <c r="C141" t="s">
        <v>1689</v>
      </c>
      <c r="D141" s="33">
        <v>141.5</v>
      </c>
    </row>
    <row r="142" spans="1:4" x14ac:dyDescent="0.25">
      <c r="A142" s="23">
        <v>141</v>
      </c>
      <c r="B142" s="34" t="s">
        <v>3199</v>
      </c>
      <c r="C142" t="s">
        <v>2714</v>
      </c>
      <c r="D142" s="33">
        <v>141.29</v>
      </c>
    </row>
    <row r="143" spans="1:4" x14ac:dyDescent="0.25">
      <c r="A143" s="23">
        <v>142</v>
      </c>
      <c r="B143" s="34" t="s">
        <v>3208</v>
      </c>
      <c r="C143" t="s">
        <v>1483</v>
      </c>
      <c r="D143" s="33">
        <v>141.25</v>
      </c>
    </row>
    <row r="144" spans="1:4" x14ac:dyDescent="0.25">
      <c r="A144" s="23">
        <v>143</v>
      </c>
      <c r="B144" s="34" t="s">
        <v>3258</v>
      </c>
      <c r="C144" t="s">
        <v>1760</v>
      </c>
      <c r="D144" s="33">
        <v>140.55000000000001</v>
      </c>
    </row>
    <row r="145" spans="1:4" x14ac:dyDescent="0.25">
      <c r="A145" s="23">
        <v>144</v>
      </c>
      <c r="B145" s="34" t="s">
        <v>3220</v>
      </c>
      <c r="C145" t="s">
        <v>3387</v>
      </c>
      <c r="D145" s="33">
        <v>140.30000000000001</v>
      </c>
    </row>
    <row r="146" spans="1:4" x14ac:dyDescent="0.25">
      <c r="A146" s="23">
        <v>145</v>
      </c>
      <c r="B146" s="34" t="s">
        <v>3266</v>
      </c>
      <c r="C146" t="s">
        <v>1816</v>
      </c>
      <c r="D146" s="33">
        <v>140.25</v>
      </c>
    </row>
    <row r="147" spans="1:4" x14ac:dyDescent="0.25">
      <c r="A147" s="23">
        <v>146</v>
      </c>
      <c r="B147" s="34" t="s">
        <v>3278</v>
      </c>
      <c r="C147" t="s">
        <v>1887</v>
      </c>
      <c r="D147" s="33">
        <v>140</v>
      </c>
    </row>
    <row r="148" spans="1:4" x14ac:dyDescent="0.25">
      <c r="A148" s="23">
        <v>147</v>
      </c>
      <c r="B148" s="34" t="s">
        <v>3224</v>
      </c>
      <c r="C148" t="s">
        <v>1560</v>
      </c>
      <c r="D148" s="33">
        <v>139.80000000000001</v>
      </c>
    </row>
    <row r="149" spans="1:4" x14ac:dyDescent="0.25">
      <c r="A149" s="23">
        <v>148</v>
      </c>
      <c r="B149" s="34" t="s">
        <v>3337</v>
      </c>
      <c r="C149" t="s">
        <v>2216</v>
      </c>
      <c r="D149" s="33">
        <v>139</v>
      </c>
    </row>
    <row r="150" spans="1:4" x14ac:dyDescent="0.25">
      <c r="A150" s="23">
        <v>149</v>
      </c>
      <c r="B150" s="34" t="s">
        <v>3360</v>
      </c>
      <c r="C150" t="s">
        <v>2344</v>
      </c>
      <c r="D150" s="33">
        <v>139</v>
      </c>
    </row>
    <row r="151" spans="1:4" x14ac:dyDescent="0.25">
      <c r="A151" s="23">
        <v>150</v>
      </c>
      <c r="B151" s="34" t="s">
        <v>3192</v>
      </c>
      <c r="C151" t="s">
        <v>1412</v>
      </c>
      <c r="D151" s="33">
        <v>138</v>
      </c>
    </row>
    <row r="152" spans="1:4" x14ac:dyDescent="0.25">
      <c r="A152" s="23">
        <v>151</v>
      </c>
      <c r="B152" s="34" t="s">
        <v>3264</v>
      </c>
      <c r="C152" t="s">
        <v>2732</v>
      </c>
      <c r="D152" s="33">
        <v>137.5</v>
      </c>
    </row>
    <row r="153" spans="1:4" x14ac:dyDescent="0.25">
      <c r="A153" s="23">
        <v>152</v>
      </c>
      <c r="B153" s="34" t="s">
        <v>3181</v>
      </c>
      <c r="C153" t="s">
        <v>1352</v>
      </c>
      <c r="D153" s="33">
        <v>137.18</v>
      </c>
    </row>
    <row r="154" spans="1:4" x14ac:dyDescent="0.25">
      <c r="A154" s="23">
        <v>153</v>
      </c>
      <c r="B154" s="34" t="s">
        <v>3189</v>
      </c>
      <c r="C154" t="s">
        <v>1391</v>
      </c>
      <c r="D154" s="33">
        <v>137.04</v>
      </c>
    </row>
    <row r="155" spans="1:4" x14ac:dyDescent="0.25">
      <c r="A155" s="23">
        <v>154</v>
      </c>
      <c r="B155" s="34" t="s">
        <v>3159</v>
      </c>
      <c r="C155" t="s">
        <v>1224</v>
      </c>
      <c r="D155" s="33">
        <v>136.75</v>
      </c>
    </row>
    <row r="156" spans="1:4" x14ac:dyDescent="0.25">
      <c r="A156" s="23">
        <v>155</v>
      </c>
      <c r="B156" s="34" t="s">
        <v>3245</v>
      </c>
      <c r="C156" t="s">
        <v>1676</v>
      </c>
      <c r="D156" s="33">
        <v>136</v>
      </c>
    </row>
    <row r="157" spans="1:4" x14ac:dyDescent="0.25">
      <c r="A157" s="23">
        <v>156</v>
      </c>
      <c r="B157" s="34" t="s">
        <v>3221</v>
      </c>
      <c r="C157" t="s">
        <v>1548</v>
      </c>
      <c r="D157" s="33">
        <v>135.5</v>
      </c>
    </row>
    <row r="158" spans="1:4" x14ac:dyDescent="0.25">
      <c r="A158" s="23">
        <v>157</v>
      </c>
      <c r="B158" s="34" t="s">
        <v>3177</v>
      </c>
      <c r="C158" t="s">
        <v>1325</v>
      </c>
      <c r="D158" s="33">
        <v>135.5</v>
      </c>
    </row>
    <row r="159" spans="1:4" x14ac:dyDescent="0.25">
      <c r="A159" s="23">
        <v>158</v>
      </c>
      <c r="B159" s="34" t="s">
        <v>3291</v>
      </c>
      <c r="C159" t="s">
        <v>1950</v>
      </c>
      <c r="D159" s="33">
        <v>135.5</v>
      </c>
    </row>
    <row r="160" spans="1:4" x14ac:dyDescent="0.25">
      <c r="A160" s="23">
        <v>159</v>
      </c>
      <c r="B160" s="34" t="s">
        <v>3179</v>
      </c>
      <c r="C160" t="s">
        <v>1336</v>
      </c>
      <c r="D160" s="33">
        <v>135.34</v>
      </c>
    </row>
    <row r="161" spans="1:4" x14ac:dyDescent="0.25">
      <c r="A161" s="23">
        <v>160</v>
      </c>
      <c r="B161" s="34" t="s">
        <v>3283</v>
      </c>
      <c r="C161" t="s">
        <v>1910</v>
      </c>
      <c r="D161" s="33">
        <v>135</v>
      </c>
    </row>
    <row r="162" spans="1:4" x14ac:dyDescent="0.25">
      <c r="A162" s="23">
        <v>161</v>
      </c>
      <c r="B162" s="34" t="s">
        <v>3166</v>
      </c>
      <c r="C162" t="s">
        <v>1267</v>
      </c>
      <c r="D162" s="33">
        <v>134.75</v>
      </c>
    </row>
    <row r="163" spans="1:4" x14ac:dyDescent="0.25">
      <c r="A163" s="23">
        <v>162</v>
      </c>
      <c r="B163" s="34" t="s">
        <v>3236</v>
      </c>
      <c r="C163" t="s">
        <v>1635</v>
      </c>
      <c r="D163" s="33">
        <v>134.75</v>
      </c>
    </row>
    <row r="164" spans="1:4" x14ac:dyDescent="0.25">
      <c r="A164" s="23">
        <v>163</v>
      </c>
      <c r="B164" s="34" t="s">
        <v>3261</v>
      </c>
      <c r="C164" t="s">
        <v>1776</v>
      </c>
      <c r="D164" s="33">
        <v>134.38</v>
      </c>
    </row>
    <row r="165" spans="1:4" x14ac:dyDescent="0.25">
      <c r="A165" s="23">
        <v>164</v>
      </c>
      <c r="B165" s="34" t="s">
        <v>3294</v>
      </c>
      <c r="C165" t="s">
        <v>1968</v>
      </c>
      <c r="D165" s="33">
        <v>134.25</v>
      </c>
    </row>
    <row r="166" spans="1:4" x14ac:dyDescent="0.25">
      <c r="A166" s="23">
        <v>165</v>
      </c>
      <c r="B166" s="34" t="s">
        <v>3272</v>
      </c>
      <c r="C166" t="s">
        <v>1846</v>
      </c>
      <c r="D166" s="33">
        <v>133.94</v>
      </c>
    </row>
    <row r="167" spans="1:4" x14ac:dyDescent="0.25">
      <c r="A167" s="23">
        <v>166</v>
      </c>
      <c r="B167" s="34" t="s">
        <v>3316</v>
      </c>
      <c r="C167" t="s">
        <v>2108</v>
      </c>
      <c r="D167" s="33">
        <v>133</v>
      </c>
    </row>
    <row r="168" spans="1:4" x14ac:dyDescent="0.25">
      <c r="A168" s="23">
        <v>167</v>
      </c>
      <c r="B168" s="34" t="s">
        <v>3148</v>
      </c>
      <c r="C168" t="s">
        <v>1174</v>
      </c>
      <c r="D168" s="33">
        <v>133</v>
      </c>
    </row>
    <row r="169" spans="1:4" x14ac:dyDescent="0.25">
      <c r="A169" s="23">
        <v>168</v>
      </c>
      <c r="B169" s="34" t="s">
        <v>3198</v>
      </c>
      <c r="C169" t="s">
        <v>1439</v>
      </c>
      <c r="D169" s="33">
        <v>132.5</v>
      </c>
    </row>
    <row r="170" spans="1:4" x14ac:dyDescent="0.25">
      <c r="A170" s="23">
        <v>169</v>
      </c>
      <c r="B170" s="34" t="s">
        <v>3149</v>
      </c>
      <c r="C170" t="s">
        <v>1179</v>
      </c>
      <c r="D170" s="33">
        <v>130.34</v>
      </c>
    </row>
    <row r="171" spans="1:4" x14ac:dyDescent="0.25">
      <c r="A171" s="23">
        <v>170</v>
      </c>
      <c r="B171" s="34" t="s">
        <v>3251</v>
      </c>
      <c r="C171" t="s">
        <v>1711</v>
      </c>
      <c r="D171" s="33">
        <v>129.25</v>
      </c>
    </row>
    <row r="172" spans="1:4" x14ac:dyDescent="0.25">
      <c r="A172" s="23">
        <v>171</v>
      </c>
      <c r="B172" s="34" t="s">
        <v>3273</v>
      </c>
      <c r="C172" t="s">
        <v>1857</v>
      </c>
      <c r="D172" s="33">
        <v>127.5</v>
      </c>
    </row>
    <row r="173" spans="1:4" x14ac:dyDescent="0.25">
      <c r="A173" s="23">
        <v>172</v>
      </c>
      <c r="B173" s="34" t="s">
        <v>3262</v>
      </c>
      <c r="C173" t="s">
        <v>1785</v>
      </c>
      <c r="D173" s="33">
        <v>126.8</v>
      </c>
    </row>
    <row r="174" spans="1:4" x14ac:dyDescent="0.25">
      <c r="A174" s="23">
        <v>173</v>
      </c>
      <c r="B174" s="34" t="s">
        <v>3243</v>
      </c>
      <c r="C174" t="s">
        <v>1667</v>
      </c>
      <c r="D174" s="33">
        <v>126.05</v>
      </c>
    </row>
    <row r="175" spans="1:4" x14ac:dyDescent="0.25">
      <c r="A175" s="23">
        <v>174</v>
      </c>
      <c r="B175" s="34" t="s">
        <v>3345</v>
      </c>
      <c r="C175" t="s">
        <v>2260</v>
      </c>
      <c r="D175" s="33">
        <v>126</v>
      </c>
    </row>
    <row r="176" spans="1:4" x14ac:dyDescent="0.25">
      <c r="A176" s="23">
        <v>175</v>
      </c>
      <c r="B176" s="34" t="s">
        <v>3157</v>
      </c>
      <c r="C176" t="s">
        <v>1215</v>
      </c>
      <c r="D176" s="33">
        <v>125.55</v>
      </c>
    </row>
    <row r="177" spans="1:4" x14ac:dyDescent="0.25">
      <c r="A177" s="23">
        <v>176</v>
      </c>
      <c r="B177" s="34" t="s">
        <v>3246</v>
      </c>
      <c r="C177" t="s">
        <v>1680</v>
      </c>
      <c r="D177" s="33">
        <v>125.25</v>
      </c>
    </row>
    <row r="178" spans="1:4" x14ac:dyDescent="0.25">
      <c r="A178" s="23">
        <v>177</v>
      </c>
      <c r="B178" s="34" t="s">
        <v>3302</v>
      </c>
      <c r="C178" t="s">
        <v>2013</v>
      </c>
      <c r="D178" s="33">
        <v>123.68</v>
      </c>
    </row>
    <row r="179" spans="1:4" x14ac:dyDescent="0.25">
      <c r="A179" s="23">
        <v>178</v>
      </c>
      <c r="B179" s="34" t="s">
        <v>3218</v>
      </c>
      <c r="C179" t="s">
        <v>2723</v>
      </c>
      <c r="D179" s="33">
        <v>123.25</v>
      </c>
    </row>
    <row r="180" spans="1:4" x14ac:dyDescent="0.25">
      <c r="A180" s="23">
        <v>179</v>
      </c>
      <c r="B180" s="34" t="s">
        <v>3190</v>
      </c>
      <c r="C180" t="s">
        <v>1396</v>
      </c>
      <c r="D180" s="33">
        <v>121.05</v>
      </c>
    </row>
    <row r="181" spans="1:4" x14ac:dyDescent="0.25">
      <c r="A181" s="23">
        <v>180</v>
      </c>
      <c r="B181" s="34" t="s">
        <v>1727</v>
      </c>
      <c r="C181" t="s">
        <v>1722</v>
      </c>
      <c r="D181" s="33">
        <v>119.75</v>
      </c>
    </row>
    <row r="182" spans="1:4" x14ac:dyDescent="0.25">
      <c r="A182" s="23">
        <v>181</v>
      </c>
      <c r="B182" s="34" t="s">
        <v>3276</v>
      </c>
      <c r="C182" t="s">
        <v>1878</v>
      </c>
      <c r="D182" s="33">
        <v>118.75</v>
      </c>
    </row>
    <row r="183" spans="1:4" x14ac:dyDescent="0.25">
      <c r="A183" s="23">
        <v>182</v>
      </c>
      <c r="B183" s="34" t="s">
        <v>3210</v>
      </c>
      <c r="C183" t="s">
        <v>1493</v>
      </c>
      <c r="D183" s="33">
        <v>118.25</v>
      </c>
    </row>
    <row r="184" spans="1:4" x14ac:dyDescent="0.25">
      <c r="A184" s="23">
        <v>183</v>
      </c>
      <c r="B184" s="34" t="s">
        <v>3213</v>
      </c>
      <c r="C184" t="s">
        <v>1509</v>
      </c>
      <c r="D184" s="33">
        <v>118.05</v>
      </c>
    </row>
    <row r="185" spans="1:4" x14ac:dyDescent="0.25">
      <c r="A185" s="23">
        <v>184</v>
      </c>
      <c r="B185" s="34" t="s">
        <v>3230</v>
      </c>
      <c r="C185" t="s">
        <v>1600</v>
      </c>
      <c r="D185" s="33">
        <v>117</v>
      </c>
    </row>
    <row r="186" spans="1:4" x14ac:dyDescent="0.25">
      <c r="A186" s="23">
        <v>185</v>
      </c>
      <c r="B186" s="34" t="s">
        <v>3158</v>
      </c>
      <c r="C186" t="s">
        <v>1220</v>
      </c>
      <c r="D186" s="33">
        <v>115.77</v>
      </c>
    </row>
    <row r="187" spans="1:4" x14ac:dyDescent="0.25">
      <c r="A187" s="23">
        <v>186</v>
      </c>
      <c r="B187" s="34" t="s">
        <v>3150</v>
      </c>
      <c r="C187" t="s">
        <v>1183</v>
      </c>
      <c r="D187" s="33">
        <v>108.38</v>
      </c>
    </row>
    <row r="188" spans="1:4" x14ac:dyDescent="0.25">
      <c r="A188" s="23">
        <v>187</v>
      </c>
      <c r="B188" s="34" t="s">
        <v>3165</v>
      </c>
      <c r="C188" t="s">
        <v>1262</v>
      </c>
      <c r="D188" s="33">
        <v>107.63</v>
      </c>
    </row>
    <row r="189" spans="1:4" x14ac:dyDescent="0.25">
      <c r="A189" s="23">
        <v>188</v>
      </c>
      <c r="B189" s="34" t="s">
        <v>3200</v>
      </c>
      <c r="C189" t="s">
        <v>1444</v>
      </c>
      <c r="D189" s="33">
        <v>106.75</v>
      </c>
    </row>
    <row r="190" spans="1:4" x14ac:dyDescent="0.25">
      <c r="B190" s="34" t="s">
        <v>3366</v>
      </c>
      <c r="C190" t="s">
        <v>1341</v>
      </c>
      <c r="D190" s="33" t="s">
        <v>3386</v>
      </c>
    </row>
    <row r="191" spans="1:4" x14ac:dyDescent="0.25">
      <c r="B191" s="34" t="s">
        <v>3368</v>
      </c>
      <c r="C191" t="s">
        <v>1501</v>
      </c>
      <c r="D191" s="33" t="s">
        <v>3386</v>
      </c>
    </row>
    <row r="192" spans="1:4" x14ac:dyDescent="0.25">
      <c r="B192" s="34" t="s">
        <v>3369</v>
      </c>
      <c r="C192" t="s">
        <v>1519</v>
      </c>
      <c r="D192" s="33" t="s">
        <v>3386</v>
      </c>
    </row>
    <row r="193" spans="2:4" x14ac:dyDescent="0.25">
      <c r="B193" s="34" t="s">
        <v>3371</v>
      </c>
      <c r="C193" t="s">
        <v>1630</v>
      </c>
      <c r="D193" s="33" t="s">
        <v>3386</v>
      </c>
    </row>
    <row r="194" spans="2:4" x14ac:dyDescent="0.25">
      <c r="B194" s="34" t="s">
        <v>3375</v>
      </c>
      <c r="C194" t="s">
        <v>1780</v>
      </c>
      <c r="D194" s="33" t="s">
        <v>3386</v>
      </c>
    </row>
    <row r="195" spans="2:4" x14ac:dyDescent="0.25">
      <c r="B195" s="34" t="s">
        <v>3376</v>
      </c>
      <c r="C195" t="s">
        <v>1795</v>
      </c>
      <c r="D195" s="33" t="s">
        <v>3386</v>
      </c>
    </row>
    <row r="196" spans="2:4" x14ac:dyDescent="0.25">
      <c r="B196" s="34" t="s">
        <v>3377</v>
      </c>
      <c r="C196" t="s">
        <v>1851</v>
      </c>
      <c r="D196" s="33" t="s">
        <v>3386</v>
      </c>
    </row>
    <row r="197" spans="2:4" x14ac:dyDescent="0.25">
      <c r="B197" s="34" t="s">
        <v>3378</v>
      </c>
      <c r="C197" t="s">
        <v>1862</v>
      </c>
      <c r="D197" s="33" t="s">
        <v>3386</v>
      </c>
    </row>
    <row r="198" spans="2:4" x14ac:dyDescent="0.25">
      <c r="B198" s="34" t="s">
        <v>3379</v>
      </c>
      <c r="C198" t="s">
        <v>1963</v>
      </c>
      <c r="D198" s="33" t="s">
        <v>3386</v>
      </c>
    </row>
    <row r="199" spans="2:4" x14ac:dyDescent="0.25">
      <c r="B199" s="34" t="s">
        <v>3380</v>
      </c>
      <c r="C199" t="s">
        <v>2029</v>
      </c>
      <c r="D199" s="33" t="s">
        <v>3386</v>
      </c>
    </row>
    <row r="200" spans="2:4" x14ac:dyDescent="0.25">
      <c r="B200" s="34" t="s">
        <v>3381</v>
      </c>
      <c r="C200" t="s">
        <v>2033</v>
      </c>
      <c r="D200" s="33" t="s">
        <v>3386</v>
      </c>
    </row>
    <row r="201" spans="2:4" x14ac:dyDescent="0.25">
      <c r="B201" s="34" t="s">
        <v>3384</v>
      </c>
      <c r="C201" t="s">
        <v>2192</v>
      </c>
      <c r="D201" s="33" t="s">
        <v>3386</v>
      </c>
    </row>
  </sheetData>
  <sortState xmlns:xlrd2="http://schemas.microsoft.com/office/spreadsheetml/2017/richdata2" ref="A2:D189">
    <sortCondition ref="B2:B18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2380C-A6F7-4B91-92E0-F485D6818092}">
  <sheetPr codeName="Munka6"/>
  <dimension ref="A1:D23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42578125" style="23" bestFit="1" customWidth="1"/>
    <col min="2" max="2" width="28.5703125" style="34" bestFit="1" customWidth="1"/>
    <col min="3" max="3" width="25.28515625" bestFit="1" customWidth="1"/>
    <col min="4" max="4" width="11.5703125" style="33" bestFit="1" customWidth="1"/>
  </cols>
  <sheetData>
    <row r="1" spans="1:4" s="26" customFormat="1" x14ac:dyDescent="0.25">
      <c r="A1" s="22" t="s">
        <v>1086</v>
      </c>
      <c r="B1" s="43" t="s">
        <v>3143</v>
      </c>
      <c r="C1" s="26" t="s">
        <v>1050</v>
      </c>
      <c r="D1" s="44" t="s">
        <v>692</v>
      </c>
    </row>
    <row r="2" spans="1:4" x14ac:dyDescent="0.25">
      <c r="A2" s="23">
        <v>1</v>
      </c>
      <c r="B2" s="34" t="s">
        <v>3312</v>
      </c>
      <c r="C2" t="s">
        <v>2089</v>
      </c>
      <c r="D2" s="33">
        <v>188.25</v>
      </c>
    </row>
    <row r="3" spans="1:4" x14ac:dyDescent="0.25">
      <c r="A3" s="23">
        <v>2</v>
      </c>
      <c r="B3" s="34" t="s">
        <v>1234</v>
      </c>
      <c r="C3" t="s">
        <v>1230</v>
      </c>
      <c r="D3" s="33">
        <v>187.75</v>
      </c>
    </row>
    <row r="4" spans="1:4" x14ac:dyDescent="0.25">
      <c r="A4" s="23">
        <v>3</v>
      </c>
      <c r="B4" s="34" t="s">
        <v>3244</v>
      </c>
      <c r="C4" t="s">
        <v>1672</v>
      </c>
      <c r="D4" s="33">
        <v>187.5</v>
      </c>
    </row>
    <row r="5" spans="1:4" x14ac:dyDescent="0.25">
      <c r="A5" s="23">
        <v>4</v>
      </c>
      <c r="B5" s="34" t="s">
        <v>3247</v>
      </c>
      <c r="C5" t="s">
        <v>1684</v>
      </c>
      <c r="D5" s="33">
        <v>185</v>
      </c>
    </row>
    <row r="6" spans="1:4" x14ac:dyDescent="0.25">
      <c r="A6" s="23">
        <v>5</v>
      </c>
      <c r="B6" s="34" t="s">
        <v>3201</v>
      </c>
      <c r="C6" t="s">
        <v>1450</v>
      </c>
      <c r="D6" s="33">
        <v>182</v>
      </c>
    </row>
    <row r="7" spans="1:4" x14ac:dyDescent="0.25">
      <c r="A7" s="23">
        <v>6</v>
      </c>
      <c r="B7" s="34" t="s">
        <v>3211</v>
      </c>
      <c r="C7" t="s">
        <v>1497</v>
      </c>
      <c r="D7" s="33">
        <v>181.75</v>
      </c>
    </row>
    <row r="8" spans="1:4" x14ac:dyDescent="0.25">
      <c r="A8" s="23">
        <v>7</v>
      </c>
      <c r="B8" s="34" t="s">
        <v>3237</v>
      </c>
      <c r="C8" t="s">
        <v>1640</v>
      </c>
      <c r="D8" s="33">
        <v>181.25</v>
      </c>
    </row>
    <row r="9" spans="1:4" x14ac:dyDescent="0.25">
      <c r="A9" s="23">
        <v>8</v>
      </c>
      <c r="B9" s="34" t="s">
        <v>3226</v>
      </c>
      <c r="C9" t="s">
        <v>1579</v>
      </c>
      <c r="D9" s="33">
        <v>180.5</v>
      </c>
    </row>
    <row r="10" spans="1:4" x14ac:dyDescent="0.25">
      <c r="A10" s="23">
        <v>9</v>
      </c>
      <c r="B10" s="34" t="s">
        <v>3153</v>
      </c>
      <c r="C10" t="s">
        <v>1197</v>
      </c>
      <c r="D10" s="33">
        <v>180.5</v>
      </c>
    </row>
    <row r="11" spans="1:4" x14ac:dyDescent="0.25">
      <c r="A11" s="23">
        <v>10</v>
      </c>
      <c r="B11" s="34" t="s">
        <v>3292</v>
      </c>
      <c r="C11" t="s">
        <v>1954</v>
      </c>
      <c r="D11" s="33">
        <v>180.5</v>
      </c>
    </row>
    <row r="12" spans="1:4" x14ac:dyDescent="0.25">
      <c r="A12" s="23">
        <v>11</v>
      </c>
      <c r="B12" s="34" t="s">
        <v>3326</v>
      </c>
      <c r="C12" t="s">
        <v>2162</v>
      </c>
      <c r="D12" s="33">
        <v>178.75</v>
      </c>
    </row>
    <row r="13" spans="1:4" x14ac:dyDescent="0.25">
      <c r="A13" s="23">
        <v>12</v>
      </c>
      <c r="B13" s="34" t="s">
        <v>3290</v>
      </c>
      <c r="C13" t="s">
        <v>1944</v>
      </c>
      <c r="D13" s="33">
        <v>178.25</v>
      </c>
    </row>
    <row r="14" spans="1:4" x14ac:dyDescent="0.25">
      <c r="A14" s="23">
        <v>13</v>
      </c>
      <c r="B14" s="34" t="s">
        <v>3332</v>
      </c>
      <c r="C14" t="s">
        <v>2187</v>
      </c>
      <c r="D14" s="33">
        <v>177.25</v>
      </c>
    </row>
    <row r="15" spans="1:4" x14ac:dyDescent="0.25">
      <c r="A15" s="23">
        <v>14</v>
      </c>
      <c r="B15" s="34" t="s">
        <v>3355</v>
      </c>
      <c r="C15" t="s">
        <v>2314</v>
      </c>
      <c r="D15" s="33">
        <v>175.75</v>
      </c>
    </row>
    <row r="16" spans="1:4" x14ac:dyDescent="0.25">
      <c r="A16" s="23">
        <v>15</v>
      </c>
      <c r="B16" s="34" t="s">
        <v>3309</v>
      </c>
      <c r="C16" t="s">
        <v>2075</v>
      </c>
      <c r="D16" s="33">
        <v>175.75</v>
      </c>
    </row>
    <row r="17" spans="1:4" x14ac:dyDescent="0.25">
      <c r="A17" s="23">
        <v>16</v>
      </c>
      <c r="B17" s="34" t="s">
        <v>3305</v>
      </c>
      <c r="C17" t="s">
        <v>2038</v>
      </c>
      <c r="D17" s="33">
        <v>175.5</v>
      </c>
    </row>
    <row r="18" spans="1:4" x14ac:dyDescent="0.25">
      <c r="A18" s="23">
        <v>17</v>
      </c>
      <c r="B18" s="34" t="s">
        <v>3233</v>
      </c>
      <c r="C18" t="s">
        <v>1616</v>
      </c>
      <c r="D18" s="33">
        <v>175.5</v>
      </c>
    </row>
    <row r="19" spans="1:4" x14ac:dyDescent="0.25">
      <c r="A19" s="23">
        <v>18</v>
      </c>
      <c r="B19" s="34" t="s">
        <v>3195</v>
      </c>
      <c r="C19" t="s">
        <v>1427</v>
      </c>
      <c r="D19" s="33">
        <v>175.25</v>
      </c>
    </row>
    <row r="20" spans="1:4" x14ac:dyDescent="0.25">
      <c r="A20" s="23">
        <v>19</v>
      </c>
      <c r="B20" s="34" t="s">
        <v>3203</v>
      </c>
      <c r="C20" t="s">
        <v>1459</v>
      </c>
      <c r="D20" s="33">
        <v>175.25</v>
      </c>
    </row>
    <row r="21" spans="1:4" x14ac:dyDescent="0.25">
      <c r="A21" s="23">
        <v>20</v>
      </c>
      <c r="B21" s="34" t="s">
        <v>3271</v>
      </c>
      <c r="C21" t="s">
        <v>1840</v>
      </c>
      <c r="D21" s="33">
        <v>175.25</v>
      </c>
    </row>
    <row r="22" spans="1:4" x14ac:dyDescent="0.25">
      <c r="A22" s="23">
        <v>21</v>
      </c>
      <c r="B22" s="34" t="s">
        <v>3215</v>
      </c>
      <c r="C22" t="s">
        <v>1523</v>
      </c>
      <c r="D22" s="33">
        <v>175.25</v>
      </c>
    </row>
    <row r="23" spans="1:4" x14ac:dyDescent="0.25">
      <c r="A23" s="23">
        <v>22</v>
      </c>
      <c r="B23" s="34" t="s">
        <v>3156</v>
      </c>
      <c r="C23" t="s">
        <v>1210</v>
      </c>
      <c r="D23" s="33">
        <v>175</v>
      </c>
    </row>
    <row r="24" spans="1:4" x14ac:dyDescent="0.25">
      <c r="A24" s="23">
        <v>23</v>
      </c>
      <c r="B24" s="34" t="s">
        <v>3328</v>
      </c>
      <c r="C24" t="s">
        <v>2171</v>
      </c>
      <c r="D24" s="33">
        <v>174.75</v>
      </c>
    </row>
    <row r="25" spans="1:4" x14ac:dyDescent="0.25">
      <c r="A25" s="23">
        <v>24</v>
      </c>
      <c r="B25" s="34" t="s">
        <v>3183</v>
      </c>
      <c r="C25" t="s">
        <v>2701</v>
      </c>
      <c r="D25" s="33">
        <v>174.5</v>
      </c>
    </row>
    <row r="26" spans="1:4" x14ac:dyDescent="0.25">
      <c r="A26" s="23">
        <v>25</v>
      </c>
      <c r="B26" s="34" t="s">
        <v>3323</v>
      </c>
      <c r="C26" t="s">
        <v>2141</v>
      </c>
      <c r="D26" s="33">
        <v>174</v>
      </c>
    </row>
    <row r="27" spans="1:4" x14ac:dyDescent="0.25">
      <c r="A27" s="23">
        <v>26</v>
      </c>
      <c r="B27" s="34" t="s">
        <v>3282</v>
      </c>
      <c r="C27" t="s">
        <v>1906</v>
      </c>
      <c r="D27" s="33">
        <v>173.75</v>
      </c>
    </row>
    <row r="28" spans="1:4" x14ac:dyDescent="0.25">
      <c r="A28" s="23">
        <v>27</v>
      </c>
      <c r="B28" s="34" t="s">
        <v>3238</v>
      </c>
      <c r="C28" t="s">
        <v>1644</v>
      </c>
      <c r="D28" s="33">
        <v>173.75</v>
      </c>
    </row>
    <row r="29" spans="1:4" x14ac:dyDescent="0.25">
      <c r="A29" s="23">
        <v>28</v>
      </c>
      <c r="B29" s="34" t="s">
        <v>3356</v>
      </c>
      <c r="C29" t="s">
        <v>2319</v>
      </c>
      <c r="D29" s="33">
        <v>173.25</v>
      </c>
    </row>
    <row r="30" spans="1:4" x14ac:dyDescent="0.25">
      <c r="A30" s="23">
        <v>29</v>
      </c>
      <c r="B30" s="34" t="s">
        <v>3331</v>
      </c>
      <c r="C30" t="s">
        <v>2183</v>
      </c>
      <c r="D30" s="33">
        <v>173.25</v>
      </c>
    </row>
    <row r="31" spans="1:4" x14ac:dyDescent="0.25">
      <c r="A31" s="23">
        <v>30</v>
      </c>
      <c r="B31" s="34" t="s">
        <v>1988</v>
      </c>
      <c r="C31" t="s">
        <v>1984</v>
      </c>
      <c r="D31" s="33">
        <v>172.75</v>
      </c>
    </row>
    <row r="32" spans="1:4" x14ac:dyDescent="0.25">
      <c r="A32" s="23">
        <v>31</v>
      </c>
      <c r="B32" s="34" t="s">
        <v>3194</v>
      </c>
      <c r="C32" t="s">
        <v>1422</v>
      </c>
      <c r="D32" s="33">
        <v>172.5</v>
      </c>
    </row>
    <row r="33" spans="1:4" x14ac:dyDescent="0.25">
      <c r="A33" s="23">
        <v>32</v>
      </c>
      <c r="B33" s="34" t="s">
        <v>3284</v>
      </c>
      <c r="C33" t="s">
        <v>1915</v>
      </c>
      <c r="D33" s="33">
        <v>172.5</v>
      </c>
    </row>
    <row r="34" spans="1:4" x14ac:dyDescent="0.25">
      <c r="A34" s="23">
        <v>33</v>
      </c>
      <c r="B34" s="34" t="s">
        <v>3206</v>
      </c>
      <c r="C34" t="s">
        <v>1473</v>
      </c>
      <c r="D34" s="33">
        <v>172.5</v>
      </c>
    </row>
    <row r="35" spans="1:4" x14ac:dyDescent="0.25">
      <c r="A35" s="23">
        <v>34</v>
      </c>
      <c r="B35" s="34" t="s">
        <v>3346</v>
      </c>
      <c r="C35" t="s">
        <v>2266</v>
      </c>
      <c r="D35" s="33">
        <v>171.75</v>
      </c>
    </row>
    <row r="36" spans="1:4" x14ac:dyDescent="0.25">
      <c r="A36" s="23">
        <v>35</v>
      </c>
      <c r="B36" s="34" t="s">
        <v>3252</v>
      </c>
      <c r="C36" t="s">
        <v>1718</v>
      </c>
      <c r="D36" s="33">
        <v>171.5</v>
      </c>
    </row>
    <row r="37" spans="1:4" x14ac:dyDescent="0.25">
      <c r="A37" s="23">
        <v>36</v>
      </c>
      <c r="B37" s="34" t="s">
        <v>3347</v>
      </c>
      <c r="C37" t="s">
        <v>2276</v>
      </c>
      <c r="D37" s="33">
        <v>171.25</v>
      </c>
    </row>
    <row r="38" spans="1:4" x14ac:dyDescent="0.25">
      <c r="A38" s="23">
        <v>37</v>
      </c>
      <c r="B38" s="34" t="s">
        <v>3279</v>
      </c>
      <c r="C38" t="s">
        <v>1891</v>
      </c>
      <c r="D38" s="33">
        <v>171</v>
      </c>
    </row>
    <row r="39" spans="1:4" x14ac:dyDescent="0.25">
      <c r="A39" s="23">
        <v>38</v>
      </c>
      <c r="B39" s="34" t="s">
        <v>3223</v>
      </c>
      <c r="C39" t="s">
        <v>1554</v>
      </c>
      <c r="D39" s="33">
        <v>170.84</v>
      </c>
    </row>
    <row r="40" spans="1:4" x14ac:dyDescent="0.25">
      <c r="A40" s="23">
        <v>39</v>
      </c>
      <c r="B40" s="34" t="s">
        <v>3299</v>
      </c>
      <c r="C40" t="s">
        <v>1999</v>
      </c>
      <c r="D40" s="33">
        <v>170.5</v>
      </c>
    </row>
    <row r="41" spans="1:4" x14ac:dyDescent="0.25">
      <c r="A41" s="23">
        <v>40</v>
      </c>
      <c r="B41" s="34" t="s">
        <v>3270</v>
      </c>
      <c r="C41" t="s">
        <v>1835</v>
      </c>
      <c r="D41" s="33">
        <v>170</v>
      </c>
    </row>
    <row r="42" spans="1:4" x14ac:dyDescent="0.25">
      <c r="A42" s="23">
        <v>41</v>
      </c>
      <c r="B42" s="34" t="s">
        <v>3293</v>
      </c>
      <c r="C42" t="s">
        <v>1958</v>
      </c>
      <c r="D42" s="33">
        <v>169.75</v>
      </c>
    </row>
    <row r="43" spans="1:4" x14ac:dyDescent="0.25">
      <c r="A43" s="23">
        <v>42</v>
      </c>
      <c r="B43" s="34" t="s">
        <v>3327</v>
      </c>
      <c r="C43" t="s">
        <v>2166</v>
      </c>
      <c r="D43" s="33">
        <v>169.75</v>
      </c>
    </row>
    <row r="44" spans="1:4" x14ac:dyDescent="0.25">
      <c r="A44" s="23">
        <v>43</v>
      </c>
      <c r="B44" s="34" t="s">
        <v>3333</v>
      </c>
      <c r="C44" t="s">
        <v>2197</v>
      </c>
      <c r="D44" s="33">
        <v>169.25</v>
      </c>
    </row>
    <row r="45" spans="1:4" x14ac:dyDescent="0.25">
      <c r="A45" s="23">
        <v>44</v>
      </c>
      <c r="B45" s="34" t="s">
        <v>3145</v>
      </c>
      <c r="C45" t="s">
        <v>1158</v>
      </c>
      <c r="D45" s="33">
        <v>168.75</v>
      </c>
    </row>
    <row r="46" spans="1:4" x14ac:dyDescent="0.25">
      <c r="A46" s="23">
        <v>45</v>
      </c>
      <c r="B46" s="34" t="s">
        <v>3187</v>
      </c>
      <c r="C46" t="s">
        <v>1381</v>
      </c>
      <c r="D46" s="33">
        <v>168.75</v>
      </c>
    </row>
    <row r="47" spans="1:4" x14ac:dyDescent="0.25">
      <c r="A47" s="23">
        <v>46</v>
      </c>
      <c r="B47" s="34" t="s">
        <v>3301</v>
      </c>
      <c r="C47" t="s">
        <v>2009</v>
      </c>
      <c r="D47" s="33">
        <v>168.5</v>
      </c>
    </row>
    <row r="48" spans="1:4" x14ac:dyDescent="0.25">
      <c r="A48" s="23">
        <v>47</v>
      </c>
      <c r="B48" s="34" t="s">
        <v>3296</v>
      </c>
      <c r="C48" t="s">
        <v>1979</v>
      </c>
      <c r="D48" s="33">
        <v>168.25</v>
      </c>
    </row>
    <row r="49" spans="1:4" x14ac:dyDescent="0.25">
      <c r="A49" s="23">
        <v>48</v>
      </c>
      <c r="B49" s="34" t="s">
        <v>2048</v>
      </c>
      <c r="C49" t="s">
        <v>2043</v>
      </c>
      <c r="D49" s="33">
        <v>168</v>
      </c>
    </row>
    <row r="50" spans="1:4" x14ac:dyDescent="0.25">
      <c r="A50" s="23">
        <v>49</v>
      </c>
      <c r="B50" s="34" t="s">
        <v>3257</v>
      </c>
      <c r="C50" t="s">
        <v>3390</v>
      </c>
      <c r="D50" s="33">
        <v>168</v>
      </c>
    </row>
    <row r="51" spans="1:4" x14ac:dyDescent="0.25">
      <c r="A51" s="23">
        <v>50</v>
      </c>
      <c r="B51" s="34" t="s">
        <v>3313</v>
      </c>
      <c r="C51" t="s">
        <v>2094</v>
      </c>
      <c r="D51" s="33">
        <v>168</v>
      </c>
    </row>
    <row r="52" spans="1:4" x14ac:dyDescent="0.25">
      <c r="A52" s="23">
        <v>51</v>
      </c>
      <c r="B52" s="34" t="s">
        <v>3249</v>
      </c>
      <c r="C52" t="s">
        <v>1694</v>
      </c>
      <c r="D52" s="33">
        <v>167.75</v>
      </c>
    </row>
    <row r="53" spans="1:4" x14ac:dyDescent="0.25">
      <c r="A53" s="23">
        <v>52</v>
      </c>
      <c r="B53" s="34" t="s">
        <v>3144</v>
      </c>
      <c r="C53" t="s">
        <v>1154</v>
      </c>
      <c r="D53" s="33">
        <v>167.29</v>
      </c>
    </row>
    <row r="54" spans="1:4" x14ac:dyDescent="0.25">
      <c r="A54" s="23">
        <v>53</v>
      </c>
      <c r="B54" s="34" t="s">
        <v>3212</v>
      </c>
      <c r="C54" t="s">
        <v>1504</v>
      </c>
      <c r="D54" s="33">
        <v>166.75</v>
      </c>
    </row>
    <row r="55" spans="1:4" x14ac:dyDescent="0.25">
      <c r="A55" s="23">
        <v>54</v>
      </c>
      <c r="B55" s="34" t="s">
        <v>3160</v>
      </c>
      <c r="C55" t="s">
        <v>1236</v>
      </c>
      <c r="D55" s="33">
        <v>166.75</v>
      </c>
    </row>
    <row r="56" spans="1:4" x14ac:dyDescent="0.25">
      <c r="A56" s="23">
        <v>55</v>
      </c>
      <c r="B56" s="34" t="s">
        <v>3320</v>
      </c>
      <c r="C56" t="s">
        <v>2125</v>
      </c>
      <c r="D56" s="33">
        <v>166.75</v>
      </c>
    </row>
    <row r="57" spans="1:4" x14ac:dyDescent="0.25">
      <c r="A57" s="23">
        <v>56</v>
      </c>
      <c r="B57" s="34" t="s">
        <v>3168</v>
      </c>
      <c r="C57" t="s">
        <v>1276</v>
      </c>
      <c r="D57" s="33">
        <v>166.68</v>
      </c>
    </row>
    <row r="58" spans="1:4" x14ac:dyDescent="0.25">
      <c r="A58" s="23">
        <v>57</v>
      </c>
      <c r="B58" s="34" t="s">
        <v>3239</v>
      </c>
      <c r="C58" t="s">
        <v>1648</v>
      </c>
      <c r="D58" s="33">
        <v>166.5</v>
      </c>
    </row>
    <row r="59" spans="1:4" x14ac:dyDescent="0.25">
      <c r="A59" s="23">
        <v>58</v>
      </c>
      <c r="B59" s="34" t="s">
        <v>3182</v>
      </c>
      <c r="C59" t="s">
        <v>1357</v>
      </c>
      <c r="D59" s="33">
        <v>166</v>
      </c>
    </row>
    <row r="60" spans="1:4" x14ac:dyDescent="0.25">
      <c r="A60" s="23">
        <v>59</v>
      </c>
      <c r="B60" s="34" t="s">
        <v>3152</v>
      </c>
      <c r="C60" t="s">
        <v>1192</v>
      </c>
      <c r="D60" s="33">
        <v>165.75</v>
      </c>
    </row>
    <row r="61" spans="1:4" x14ac:dyDescent="0.25">
      <c r="A61" s="23">
        <v>60</v>
      </c>
      <c r="B61" s="34" t="s">
        <v>3295</v>
      </c>
      <c r="C61" t="s">
        <v>1973</v>
      </c>
      <c r="D61" s="33">
        <v>165.75</v>
      </c>
    </row>
    <row r="62" spans="1:4" x14ac:dyDescent="0.25">
      <c r="A62" s="23">
        <v>61</v>
      </c>
      <c r="B62" s="34" t="s">
        <v>3188</v>
      </c>
      <c r="C62" t="s">
        <v>1385</v>
      </c>
      <c r="D62" s="33">
        <v>165.75</v>
      </c>
    </row>
    <row r="63" spans="1:4" x14ac:dyDescent="0.25">
      <c r="A63" s="23">
        <v>62</v>
      </c>
      <c r="B63" s="34" t="s">
        <v>3176</v>
      </c>
      <c r="C63" t="s">
        <v>1318</v>
      </c>
      <c r="D63" s="33">
        <v>165.25</v>
      </c>
    </row>
    <row r="64" spans="1:4" x14ac:dyDescent="0.25">
      <c r="A64" s="23">
        <v>63</v>
      </c>
      <c r="B64" s="34" t="s">
        <v>3169</v>
      </c>
      <c r="C64" t="s">
        <v>1282</v>
      </c>
      <c r="D64" s="33">
        <v>165</v>
      </c>
    </row>
    <row r="65" spans="1:4" x14ac:dyDescent="0.25">
      <c r="A65" s="23">
        <v>64</v>
      </c>
      <c r="B65" s="34" t="s">
        <v>3229</v>
      </c>
      <c r="C65" t="s">
        <v>1595</v>
      </c>
      <c r="D65" s="33">
        <v>164.75</v>
      </c>
    </row>
    <row r="66" spans="1:4" x14ac:dyDescent="0.25">
      <c r="A66" s="23">
        <v>65</v>
      </c>
      <c r="B66" s="34" t="s">
        <v>3364</v>
      </c>
      <c r="C66" t="s">
        <v>2819</v>
      </c>
      <c r="D66" s="33">
        <v>164.5</v>
      </c>
    </row>
    <row r="67" spans="1:4" x14ac:dyDescent="0.25">
      <c r="A67" s="23">
        <v>66</v>
      </c>
      <c r="B67" s="34" t="s">
        <v>3339</v>
      </c>
      <c r="C67" t="s">
        <v>2228</v>
      </c>
      <c r="D67" s="33">
        <v>164.5</v>
      </c>
    </row>
    <row r="68" spans="1:4" x14ac:dyDescent="0.25">
      <c r="A68" s="23">
        <v>67</v>
      </c>
      <c r="B68" s="34" t="s">
        <v>3154</v>
      </c>
      <c r="C68" t="s">
        <v>1201</v>
      </c>
      <c r="D68" s="33">
        <v>164</v>
      </c>
    </row>
    <row r="69" spans="1:4" x14ac:dyDescent="0.25">
      <c r="A69" s="23">
        <v>68</v>
      </c>
      <c r="B69" s="34" t="s">
        <v>3204</v>
      </c>
      <c r="C69" t="s">
        <v>795</v>
      </c>
      <c r="D69" s="33">
        <v>163.80000000000001</v>
      </c>
    </row>
    <row r="70" spans="1:4" x14ac:dyDescent="0.25">
      <c r="A70" s="23">
        <v>69</v>
      </c>
      <c r="B70" s="34" t="s">
        <v>3207</v>
      </c>
      <c r="C70" t="s">
        <v>1478</v>
      </c>
      <c r="D70" s="33">
        <v>163.75</v>
      </c>
    </row>
    <row r="71" spans="1:4" x14ac:dyDescent="0.25">
      <c r="A71" s="23">
        <v>70</v>
      </c>
      <c r="B71" s="34" t="s">
        <v>3170</v>
      </c>
      <c r="C71" t="s">
        <v>1288</v>
      </c>
      <c r="D71" s="33">
        <v>163.25</v>
      </c>
    </row>
    <row r="72" spans="1:4" x14ac:dyDescent="0.25">
      <c r="A72" s="23">
        <v>71</v>
      </c>
      <c r="B72" s="34" t="s">
        <v>3227</v>
      </c>
      <c r="C72" t="s">
        <v>1585</v>
      </c>
      <c r="D72" s="33">
        <v>163</v>
      </c>
    </row>
    <row r="73" spans="1:4" x14ac:dyDescent="0.25">
      <c r="A73" s="23">
        <v>72</v>
      </c>
      <c r="B73" s="34" t="s">
        <v>3184</v>
      </c>
      <c r="C73" t="s">
        <v>1366</v>
      </c>
      <c r="D73" s="33">
        <v>162.75</v>
      </c>
    </row>
    <row r="74" spans="1:4" x14ac:dyDescent="0.25">
      <c r="A74" s="23">
        <v>73</v>
      </c>
      <c r="B74" s="34" t="s">
        <v>3155</v>
      </c>
      <c r="C74" t="s">
        <v>1205</v>
      </c>
      <c r="D74" s="33">
        <v>162.75</v>
      </c>
    </row>
    <row r="75" spans="1:4" x14ac:dyDescent="0.25">
      <c r="A75" s="23">
        <v>74</v>
      </c>
      <c r="B75" s="34" t="s">
        <v>3298</v>
      </c>
      <c r="C75" t="s">
        <v>1994</v>
      </c>
      <c r="D75" s="33">
        <v>162.75</v>
      </c>
    </row>
    <row r="76" spans="1:4" x14ac:dyDescent="0.25">
      <c r="A76" s="23">
        <v>75</v>
      </c>
      <c r="B76" s="34" t="s">
        <v>1811</v>
      </c>
      <c r="C76" t="s">
        <v>1806</v>
      </c>
      <c r="D76" s="33">
        <v>162.5</v>
      </c>
    </row>
    <row r="77" spans="1:4" x14ac:dyDescent="0.25">
      <c r="A77" s="23">
        <v>76</v>
      </c>
      <c r="B77" s="34" t="s">
        <v>3268</v>
      </c>
      <c r="C77" t="s">
        <v>1825</v>
      </c>
      <c r="D77" s="33">
        <v>162.25</v>
      </c>
    </row>
    <row r="78" spans="1:4" x14ac:dyDescent="0.25">
      <c r="A78" s="23">
        <v>77</v>
      </c>
      <c r="B78" s="34" t="s">
        <v>3361</v>
      </c>
      <c r="C78" t="s">
        <v>2348</v>
      </c>
      <c r="D78" s="33">
        <v>161.5</v>
      </c>
    </row>
    <row r="79" spans="1:4" x14ac:dyDescent="0.25">
      <c r="A79" s="23">
        <v>78</v>
      </c>
      <c r="B79" s="34" t="s">
        <v>3310</v>
      </c>
      <c r="C79" t="s">
        <v>2081</v>
      </c>
      <c r="D79" s="33">
        <v>161.5</v>
      </c>
    </row>
    <row r="80" spans="1:4" x14ac:dyDescent="0.25">
      <c r="A80" s="23">
        <v>79</v>
      </c>
      <c r="B80" s="34" t="s">
        <v>3151</v>
      </c>
      <c r="C80" t="s">
        <v>1187</v>
      </c>
      <c r="D80" s="33">
        <v>160.5</v>
      </c>
    </row>
    <row r="81" spans="1:4" x14ac:dyDescent="0.25">
      <c r="A81" s="23">
        <v>80</v>
      </c>
      <c r="B81" s="34" t="s">
        <v>3359</v>
      </c>
      <c r="C81" t="s">
        <v>2339</v>
      </c>
      <c r="D81" s="33">
        <v>160.5</v>
      </c>
    </row>
    <row r="82" spans="1:4" x14ac:dyDescent="0.25">
      <c r="A82" s="23">
        <v>81</v>
      </c>
      <c r="B82" s="34" t="s">
        <v>3147</v>
      </c>
      <c r="C82" t="s">
        <v>1168</v>
      </c>
      <c r="D82" s="33">
        <v>160.5</v>
      </c>
    </row>
    <row r="83" spans="1:4" x14ac:dyDescent="0.25">
      <c r="A83" s="23">
        <v>82</v>
      </c>
      <c r="B83" s="34" t="s">
        <v>3325</v>
      </c>
      <c r="C83" t="s">
        <v>2156</v>
      </c>
      <c r="D83" s="33">
        <v>160.5</v>
      </c>
    </row>
    <row r="84" spans="1:4" x14ac:dyDescent="0.25">
      <c r="A84" s="23">
        <v>83</v>
      </c>
      <c r="B84" s="34" t="s">
        <v>3178</v>
      </c>
      <c r="C84" t="s">
        <v>1330</v>
      </c>
      <c r="D84" s="33">
        <v>159.75</v>
      </c>
    </row>
    <row r="85" spans="1:4" x14ac:dyDescent="0.25">
      <c r="A85" s="23">
        <v>84</v>
      </c>
      <c r="B85" s="34" t="s">
        <v>3253</v>
      </c>
      <c r="C85" t="s">
        <v>1729</v>
      </c>
      <c r="D85" s="33">
        <v>159.75</v>
      </c>
    </row>
    <row r="86" spans="1:4" x14ac:dyDescent="0.25">
      <c r="A86" s="23">
        <v>85</v>
      </c>
      <c r="B86" s="34" t="s">
        <v>3349</v>
      </c>
      <c r="C86" t="s">
        <v>2286</v>
      </c>
      <c r="D86" s="33">
        <v>159.25</v>
      </c>
    </row>
    <row r="87" spans="1:4" x14ac:dyDescent="0.25">
      <c r="A87" s="23">
        <v>86</v>
      </c>
      <c r="B87" s="34" t="s">
        <v>3235</v>
      </c>
      <c r="C87" t="s">
        <v>1626</v>
      </c>
      <c r="D87" s="33">
        <v>159.25</v>
      </c>
    </row>
    <row r="88" spans="1:4" x14ac:dyDescent="0.25">
      <c r="A88" s="23">
        <v>87</v>
      </c>
      <c r="B88" s="34" t="s">
        <v>3322</v>
      </c>
      <c r="C88" t="s">
        <v>2136</v>
      </c>
      <c r="D88" s="33">
        <v>159.05000000000001</v>
      </c>
    </row>
    <row r="89" spans="1:4" x14ac:dyDescent="0.25">
      <c r="A89" s="23">
        <v>88</v>
      </c>
      <c r="B89" s="34" t="s">
        <v>2275</v>
      </c>
      <c r="C89" t="s">
        <v>2270</v>
      </c>
      <c r="D89" s="33">
        <v>159</v>
      </c>
    </row>
    <row r="90" spans="1:4" x14ac:dyDescent="0.25">
      <c r="A90" s="23">
        <v>89</v>
      </c>
      <c r="B90" s="34" t="s">
        <v>3193</v>
      </c>
      <c r="C90" t="s">
        <v>1417</v>
      </c>
      <c r="D90" s="33">
        <v>158.5</v>
      </c>
    </row>
    <row r="91" spans="1:4" x14ac:dyDescent="0.25">
      <c r="A91" s="23">
        <v>90</v>
      </c>
      <c r="B91" s="34" t="s">
        <v>3250</v>
      </c>
      <c r="C91" t="s">
        <v>1702</v>
      </c>
      <c r="D91" s="33">
        <v>158</v>
      </c>
    </row>
    <row r="92" spans="1:4" x14ac:dyDescent="0.25">
      <c r="A92" s="23">
        <v>91</v>
      </c>
      <c r="B92" s="34" t="s">
        <v>3219</v>
      </c>
      <c r="C92" t="s">
        <v>1540</v>
      </c>
      <c r="D92" s="33">
        <v>157.79</v>
      </c>
    </row>
    <row r="93" spans="1:4" x14ac:dyDescent="0.25">
      <c r="A93" s="23">
        <v>92</v>
      </c>
      <c r="B93" s="34" t="s">
        <v>1578</v>
      </c>
      <c r="C93" t="s">
        <v>1574</v>
      </c>
      <c r="D93" s="33">
        <v>157.5</v>
      </c>
    </row>
    <row r="94" spans="1:4" x14ac:dyDescent="0.25">
      <c r="A94" s="23">
        <v>93</v>
      </c>
      <c r="B94" s="34" t="s">
        <v>3225</v>
      </c>
      <c r="C94" t="s">
        <v>3388</v>
      </c>
      <c r="D94" s="33">
        <v>157.5</v>
      </c>
    </row>
    <row r="95" spans="1:4" x14ac:dyDescent="0.25">
      <c r="A95" s="23">
        <v>94</v>
      </c>
      <c r="B95" s="34" t="s">
        <v>3348</v>
      </c>
      <c r="C95" t="s">
        <v>2281</v>
      </c>
      <c r="D95" s="33">
        <v>157.25</v>
      </c>
    </row>
    <row r="96" spans="1:4" x14ac:dyDescent="0.25">
      <c r="A96" s="23">
        <v>95</v>
      </c>
      <c r="B96" s="34" t="s">
        <v>3288</v>
      </c>
      <c r="C96" t="s">
        <v>1932</v>
      </c>
      <c r="D96" s="33">
        <v>157</v>
      </c>
    </row>
    <row r="97" spans="1:4" x14ac:dyDescent="0.25">
      <c r="A97" s="23">
        <v>96</v>
      </c>
      <c r="B97" s="34" t="s">
        <v>3341</v>
      </c>
      <c r="C97" t="s">
        <v>2239</v>
      </c>
      <c r="D97" s="33">
        <v>157</v>
      </c>
    </row>
    <row r="98" spans="1:4" x14ac:dyDescent="0.25">
      <c r="A98" s="23">
        <v>97</v>
      </c>
      <c r="B98" s="34" t="s">
        <v>3303</v>
      </c>
      <c r="C98" t="s">
        <v>2018</v>
      </c>
      <c r="D98" s="33">
        <v>156.75</v>
      </c>
    </row>
    <row r="99" spans="1:4" x14ac:dyDescent="0.25">
      <c r="A99" s="23">
        <v>98</v>
      </c>
      <c r="B99" s="34" t="s">
        <v>3343</v>
      </c>
      <c r="C99" t="s">
        <v>2248</v>
      </c>
      <c r="D99" s="33">
        <v>156</v>
      </c>
    </row>
    <row r="100" spans="1:4" x14ac:dyDescent="0.25">
      <c r="A100" s="23">
        <v>99</v>
      </c>
      <c r="B100" s="34" t="s">
        <v>3234</v>
      </c>
      <c r="C100" t="s">
        <v>1621</v>
      </c>
      <c r="D100" s="33">
        <v>155.75</v>
      </c>
    </row>
    <row r="101" spans="1:4" x14ac:dyDescent="0.25">
      <c r="A101" s="23">
        <v>100</v>
      </c>
      <c r="B101" s="34" t="s">
        <v>3205</v>
      </c>
      <c r="C101" t="s">
        <v>1468</v>
      </c>
      <c r="D101" s="33">
        <v>155.5</v>
      </c>
    </row>
    <row r="102" spans="1:4" x14ac:dyDescent="0.25">
      <c r="A102" s="23">
        <v>101</v>
      </c>
      <c r="B102" s="34" t="s">
        <v>3191</v>
      </c>
      <c r="C102" t="s">
        <v>1408</v>
      </c>
      <c r="D102" s="33">
        <v>155.5</v>
      </c>
    </row>
    <row r="103" spans="1:4" x14ac:dyDescent="0.25">
      <c r="A103" s="23">
        <v>102</v>
      </c>
      <c r="B103" s="34" t="s">
        <v>3335</v>
      </c>
      <c r="C103" t="s">
        <v>2206</v>
      </c>
      <c r="D103" s="33">
        <v>155.5</v>
      </c>
    </row>
    <row r="104" spans="1:4" x14ac:dyDescent="0.25">
      <c r="A104" s="23">
        <v>103</v>
      </c>
      <c r="B104" s="34" t="s">
        <v>1710</v>
      </c>
      <c r="C104" t="s">
        <v>1706</v>
      </c>
      <c r="D104" s="33">
        <v>155</v>
      </c>
    </row>
    <row r="105" spans="1:4" x14ac:dyDescent="0.25">
      <c r="A105" s="23">
        <v>104</v>
      </c>
      <c r="B105" s="34" t="s">
        <v>3311</v>
      </c>
      <c r="C105" t="s">
        <v>2085</v>
      </c>
      <c r="D105" s="33">
        <v>155</v>
      </c>
    </row>
    <row r="106" spans="1:4" x14ac:dyDescent="0.25">
      <c r="A106" s="23">
        <v>105</v>
      </c>
      <c r="B106" s="34" t="s">
        <v>3197</v>
      </c>
      <c r="C106" t="s">
        <v>1435</v>
      </c>
      <c r="D106" s="33">
        <v>155</v>
      </c>
    </row>
    <row r="107" spans="1:4" x14ac:dyDescent="0.25">
      <c r="A107" s="23">
        <v>106</v>
      </c>
      <c r="B107" s="34" t="s">
        <v>3286</v>
      </c>
      <c r="C107" t="s">
        <v>1923</v>
      </c>
      <c r="D107" s="33">
        <v>154.83000000000001</v>
      </c>
    </row>
    <row r="108" spans="1:4" x14ac:dyDescent="0.25">
      <c r="A108" s="23">
        <v>107</v>
      </c>
      <c r="B108" s="34" t="s">
        <v>3277</v>
      </c>
      <c r="C108" t="s">
        <v>1883</v>
      </c>
      <c r="D108" s="33">
        <v>154.75</v>
      </c>
    </row>
    <row r="109" spans="1:4" x14ac:dyDescent="0.25">
      <c r="A109" s="23">
        <v>108</v>
      </c>
      <c r="B109" s="34" t="s">
        <v>3338</v>
      </c>
      <c r="C109" t="s">
        <v>2222</v>
      </c>
      <c r="D109" s="33">
        <v>154.75</v>
      </c>
    </row>
    <row r="110" spans="1:4" x14ac:dyDescent="0.25">
      <c r="A110" s="23">
        <v>109</v>
      </c>
      <c r="B110" s="34" t="s">
        <v>3164</v>
      </c>
      <c r="C110" t="s">
        <v>1257</v>
      </c>
      <c r="D110" s="33">
        <v>154.54</v>
      </c>
    </row>
    <row r="111" spans="1:4" x14ac:dyDescent="0.25">
      <c r="A111" s="23">
        <v>110</v>
      </c>
      <c r="B111" s="34" t="s">
        <v>3315</v>
      </c>
      <c r="C111" t="s">
        <v>2103</v>
      </c>
      <c r="D111" s="33">
        <v>154.25</v>
      </c>
    </row>
    <row r="112" spans="1:4" x14ac:dyDescent="0.25">
      <c r="A112" s="23">
        <v>111</v>
      </c>
      <c r="B112" s="34" t="s">
        <v>3340</v>
      </c>
      <c r="C112" t="s">
        <v>2234</v>
      </c>
      <c r="D112" s="33">
        <v>154.25</v>
      </c>
    </row>
    <row r="113" spans="1:4" x14ac:dyDescent="0.25">
      <c r="A113" s="23">
        <v>112</v>
      </c>
      <c r="B113" s="34" t="s">
        <v>3362</v>
      </c>
      <c r="C113" t="s">
        <v>2354</v>
      </c>
      <c r="D113" s="33">
        <v>154.05000000000001</v>
      </c>
    </row>
    <row r="114" spans="1:4" x14ac:dyDescent="0.25">
      <c r="A114" s="23">
        <v>113</v>
      </c>
      <c r="B114" s="34" t="s">
        <v>3351</v>
      </c>
      <c r="C114" t="s">
        <v>2296</v>
      </c>
      <c r="D114" s="33">
        <v>154</v>
      </c>
    </row>
    <row r="115" spans="1:4" x14ac:dyDescent="0.25">
      <c r="A115" s="23">
        <v>114</v>
      </c>
      <c r="B115" s="34" t="s">
        <v>3314</v>
      </c>
      <c r="C115" t="s">
        <v>2098</v>
      </c>
      <c r="D115" s="33">
        <v>153.75</v>
      </c>
    </row>
    <row r="116" spans="1:4" x14ac:dyDescent="0.25">
      <c r="A116" s="23">
        <v>115</v>
      </c>
      <c r="B116" s="34" t="s">
        <v>3185</v>
      </c>
      <c r="C116" t="s">
        <v>1371</v>
      </c>
      <c r="D116" s="33">
        <v>153.75</v>
      </c>
    </row>
    <row r="117" spans="1:4" x14ac:dyDescent="0.25">
      <c r="A117" s="23">
        <v>116</v>
      </c>
      <c r="B117" s="34" t="s">
        <v>3174</v>
      </c>
      <c r="C117" t="s">
        <v>1307</v>
      </c>
      <c r="D117" s="33">
        <v>153.25</v>
      </c>
    </row>
    <row r="118" spans="1:4" x14ac:dyDescent="0.25">
      <c r="A118" s="23">
        <v>117</v>
      </c>
      <c r="B118" s="34" t="s">
        <v>3222</v>
      </c>
      <c r="C118" t="s">
        <v>1550</v>
      </c>
      <c r="D118" s="33">
        <v>153</v>
      </c>
    </row>
    <row r="119" spans="1:4" x14ac:dyDescent="0.25">
      <c r="A119" s="23">
        <v>118</v>
      </c>
      <c r="B119" s="34" t="s">
        <v>3307</v>
      </c>
      <c r="C119" t="s">
        <v>2059</v>
      </c>
      <c r="D119" s="33">
        <v>153</v>
      </c>
    </row>
    <row r="120" spans="1:4" x14ac:dyDescent="0.25">
      <c r="A120" s="23">
        <v>119</v>
      </c>
      <c r="B120" s="34" t="s">
        <v>3281</v>
      </c>
      <c r="C120" t="s">
        <v>1901</v>
      </c>
      <c r="D120" s="33">
        <v>152.5</v>
      </c>
    </row>
    <row r="121" spans="1:4" x14ac:dyDescent="0.25">
      <c r="A121" s="23">
        <v>120</v>
      </c>
      <c r="B121" s="34" t="s">
        <v>3354</v>
      </c>
      <c r="C121" t="s">
        <v>2310</v>
      </c>
      <c r="D121" s="33">
        <v>152.5</v>
      </c>
    </row>
    <row r="122" spans="1:4" x14ac:dyDescent="0.25">
      <c r="A122" s="23">
        <v>121</v>
      </c>
      <c r="B122" s="34" t="s">
        <v>3350</v>
      </c>
      <c r="C122" t="s">
        <v>2291</v>
      </c>
      <c r="D122" s="33">
        <v>152.25</v>
      </c>
    </row>
    <row r="123" spans="1:4" x14ac:dyDescent="0.25">
      <c r="A123" s="23">
        <v>122</v>
      </c>
      <c r="B123" s="34" t="s">
        <v>3255</v>
      </c>
      <c r="C123" t="s">
        <v>1742</v>
      </c>
      <c r="D123" s="33">
        <v>152.25</v>
      </c>
    </row>
    <row r="124" spans="1:4" x14ac:dyDescent="0.25">
      <c r="A124" s="23">
        <v>123</v>
      </c>
      <c r="B124" s="34" t="s">
        <v>3318</v>
      </c>
      <c r="C124" t="s">
        <v>2117</v>
      </c>
      <c r="D124" s="33">
        <v>151.5</v>
      </c>
    </row>
    <row r="125" spans="1:4" x14ac:dyDescent="0.25">
      <c r="A125" s="23">
        <v>124</v>
      </c>
      <c r="B125" s="34" t="s">
        <v>3260</v>
      </c>
      <c r="C125" t="s">
        <v>1771</v>
      </c>
      <c r="D125" s="33">
        <v>151.25</v>
      </c>
    </row>
    <row r="126" spans="1:4" x14ac:dyDescent="0.25">
      <c r="A126" s="23">
        <v>125</v>
      </c>
      <c r="B126" s="34" t="s">
        <v>3363</v>
      </c>
      <c r="C126" t="s">
        <v>2357</v>
      </c>
      <c r="D126" s="33">
        <v>151</v>
      </c>
    </row>
    <row r="127" spans="1:4" x14ac:dyDescent="0.25">
      <c r="A127" s="23">
        <v>126</v>
      </c>
      <c r="B127" s="34" t="s">
        <v>3269</v>
      </c>
      <c r="C127" t="s">
        <v>1830</v>
      </c>
      <c r="D127" s="33">
        <v>150.75</v>
      </c>
    </row>
    <row r="128" spans="1:4" x14ac:dyDescent="0.25">
      <c r="A128" s="23">
        <v>127</v>
      </c>
      <c r="B128" s="34" t="s">
        <v>3231</v>
      </c>
      <c r="C128" t="s">
        <v>1605</v>
      </c>
      <c r="D128" s="33">
        <v>150.30000000000001</v>
      </c>
    </row>
    <row r="129" spans="1:4" x14ac:dyDescent="0.25">
      <c r="A129" s="23">
        <v>128</v>
      </c>
      <c r="B129" s="34" t="s">
        <v>3267</v>
      </c>
      <c r="C129" t="s">
        <v>1820</v>
      </c>
      <c r="D129" s="33">
        <v>150.25</v>
      </c>
    </row>
    <row r="130" spans="1:4" x14ac:dyDescent="0.25">
      <c r="A130" s="23">
        <v>129</v>
      </c>
      <c r="B130" s="34" t="s">
        <v>3330</v>
      </c>
      <c r="C130" t="s">
        <v>2178</v>
      </c>
      <c r="D130" s="33">
        <v>150.25</v>
      </c>
    </row>
    <row r="131" spans="1:4" x14ac:dyDescent="0.25">
      <c r="A131" s="23">
        <v>130</v>
      </c>
      <c r="B131" s="34" t="s">
        <v>2074</v>
      </c>
      <c r="C131" t="s">
        <v>2069</v>
      </c>
      <c r="D131" s="33">
        <v>150.12</v>
      </c>
    </row>
    <row r="132" spans="1:4" x14ac:dyDescent="0.25">
      <c r="A132" s="23">
        <v>131</v>
      </c>
      <c r="B132" s="34" t="s">
        <v>3217</v>
      </c>
      <c r="C132" t="s">
        <v>1532</v>
      </c>
      <c r="D132" s="33">
        <v>150</v>
      </c>
    </row>
    <row r="133" spans="1:4" x14ac:dyDescent="0.25">
      <c r="A133" s="23">
        <v>132</v>
      </c>
      <c r="B133" s="34" t="s">
        <v>3196</v>
      </c>
      <c r="C133" t="s">
        <v>1431</v>
      </c>
      <c r="D133" s="33">
        <v>149.75</v>
      </c>
    </row>
    <row r="134" spans="1:4" x14ac:dyDescent="0.25">
      <c r="A134" s="23">
        <v>133</v>
      </c>
      <c r="B134" s="34" t="s">
        <v>3324</v>
      </c>
      <c r="C134" t="s">
        <v>2152</v>
      </c>
      <c r="D134" s="33">
        <v>149.5</v>
      </c>
    </row>
    <row r="135" spans="1:4" x14ac:dyDescent="0.25">
      <c r="A135" s="23">
        <v>134</v>
      </c>
      <c r="B135" s="34" t="s">
        <v>3242</v>
      </c>
      <c r="C135" t="s">
        <v>1661</v>
      </c>
      <c r="D135" s="33">
        <v>148.75</v>
      </c>
    </row>
    <row r="136" spans="1:4" x14ac:dyDescent="0.25">
      <c r="A136" s="23">
        <v>135</v>
      </c>
      <c r="B136" s="34" t="s">
        <v>3280</v>
      </c>
      <c r="C136" t="s">
        <v>1896</v>
      </c>
      <c r="D136" s="33">
        <v>148.75</v>
      </c>
    </row>
    <row r="137" spans="1:4" x14ac:dyDescent="0.25">
      <c r="A137" s="23">
        <v>136</v>
      </c>
      <c r="B137" s="34" t="s">
        <v>3180</v>
      </c>
      <c r="C137" t="s">
        <v>1346</v>
      </c>
      <c r="D137" s="33">
        <v>148.72999999999999</v>
      </c>
    </row>
    <row r="138" spans="1:4" x14ac:dyDescent="0.25">
      <c r="A138" s="23">
        <v>137</v>
      </c>
      <c r="B138" s="34" t="s">
        <v>3256</v>
      </c>
      <c r="C138" t="s">
        <v>1746</v>
      </c>
      <c r="D138" s="33">
        <v>148.68</v>
      </c>
    </row>
    <row r="139" spans="1:4" x14ac:dyDescent="0.25">
      <c r="A139" s="23">
        <v>138</v>
      </c>
      <c r="B139" s="34" t="s">
        <v>3344</v>
      </c>
      <c r="C139" t="s">
        <v>2254</v>
      </c>
      <c r="D139" s="33">
        <v>148.13999999999999</v>
      </c>
    </row>
    <row r="140" spans="1:4" x14ac:dyDescent="0.25">
      <c r="A140" s="23">
        <v>139</v>
      </c>
      <c r="B140" s="34" t="s">
        <v>3228</v>
      </c>
      <c r="C140" t="s">
        <v>3389</v>
      </c>
      <c r="D140" s="33">
        <v>148</v>
      </c>
    </row>
    <row r="141" spans="1:4" x14ac:dyDescent="0.25">
      <c r="A141" s="23">
        <v>140</v>
      </c>
      <c r="B141" s="34" t="s">
        <v>3287</v>
      </c>
      <c r="C141" t="s">
        <v>1929</v>
      </c>
      <c r="D141" s="33">
        <v>147.88</v>
      </c>
    </row>
    <row r="142" spans="1:4" x14ac:dyDescent="0.25">
      <c r="A142" s="23">
        <v>141</v>
      </c>
      <c r="B142" s="34" t="s">
        <v>3358</v>
      </c>
      <c r="C142" t="s">
        <v>2334</v>
      </c>
      <c r="D142" s="33">
        <v>147.80000000000001</v>
      </c>
    </row>
    <row r="143" spans="1:4" x14ac:dyDescent="0.25">
      <c r="A143" s="23">
        <v>142</v>
      </c>
      <c r="B143" s="34" t="s">
        <v>3342</v>
      </c>
      <c r="C143" t="s">
        <v>2244</v>
      </c>
      <c r="D143" s="33">
        <v>147.63</v>
      </c>
    </row>
    <row r="144" spans="1:4" x14ac:dyDescent="0.25">
      <c r="A144" s="23">
        <v>143</v>
      </c>
      <c r="B144" s="34" t="s">
        <v>3336</v>
      </c>
      <c r="C144" t="s">
        <v>2211</v>
      </c>
      <c r="D144" s="33">
        <v>147.25</v>
      </c>
    </row>
    <row r="145" spans="1:4" x14ac:dyDescent="0.25">
      <c r="A145" s="23">
        <v>144</v>
      </c>
      <c r="B145" s="34" t="s">
        <v>3357</v>
      </c>
      <c r="C145" t="s">
        <v>2322</v>
      </c>
      <c r="D145" s="33">
        <v>147.09</v>
      </c>
    </row>
    <row r="146" spans="1:4" x14ac:dyDescent="0.25">
      <c r="A146" s="23">
        <v>145</v>
      </c>
      <c r="B146" s="34" t="s">
        <v>3285</v>
      </c>
      <c r="C146" t="s">
        <v>1920</v>
      </c>
      <c r="D146" s="33">
        <v>146.5</v>
      </c>
    </row>
    <row r="147" spans="1:4" x14ac:dyDescent="0.25">
      <c r="A147" s="23">
        <v>146</v>
      </c>
      <c r="B147" s="34" t="s">
        <v>3317</v>
      </c>
      <c r="C147" t="s">
        <v>2112</v>
      </c>
      <c r="D147" s="33">
        <v>145.93</v>
      </c>
    </row>
    <row r="148" spans="1:4" x14ac:dyDescent="0.25">
      <c r="A148" s="23">
        <v>147</v>
      </c>
      <c r="B148" s="34" t="s">
        <v>3319</v>
      </c>
      <c r="C148" t="s">
        <v>2122</v>
      </c>
      <c r="D148" s="33">
        <v>145.75</v>
      </c>
    </row>
    <row r="149" spans="1:4" x14ac:dyDescent="0.25">
      <c r="A149" s="23">
        <v>148</v>
      </c>
      <c r="B149" s="34" t="s">
        <v>3216</v>
      </c>
      <c r="C149" t="s">
        <v>1527</v>
      </c>
      <c r="D149" s="33">
        <v>145.75</v>
      </c>
    </row>
    <row r="150" spans="1:4" x14ac:dyDescent="0.25">
      <c r="A150" s="23">
        <v>149</v>
      </c>
      <c r="B150" s="34" t="s">
        <v>3334</v>
      </c>
      <c r="C150" t="s">
        <v>2202</v>
      </c>
      <c r="D150" s="33">
        <v>145.59</v>
      </c>
    </row>
    <row r="151" spans="1:4" x14ac:dyDescent="0.25">
      <c r="A151" s="23">
        <v>150</v>
      </c>
      <c r="B151" s="34" t="s">
        <v>3329</v>
      </c>
      <c r="C151" t="s">
        <v>2175</v>
      </c>
      <c r="D151" s="33">
        <v>145.5</v>
      </c>
    </row>
    <row r="152" spans="1:4" x14ac:dyDescent="0.25">
      <c r="A152" s="23">
        <v>151</v>
      </c>
      <c r="B152" s="34" t="s">
        <v>3162</v>
      </c>
      <c r="C152" t="s">
        <v>1248</v>
      </c>
      <c r="D152" s="33">
        <v>145.38999999999999</v>
      </c>
    </row>
    <row r="153" spans="1:4" x14ac:dyDescent="0.25">
      <c r="A153" s="23">
        <v>152</v>
      </c>
      <c r="B153" s="34" t="s">
        <v>3297</v>
      </c>
      <c r="C153" t="s">
        <v>1989</v>
      </c>
      <c r="D153" s="33">
        <v>145.30000000000001</v>
      </c>
    </row>
    <row r="154" spans="1:4" x14ac:dyDescent="0.25">
      <c r="A154" s="23">
        <v>153</v>
      </c>
      <c r="B154" s="34" t="s">
        <v>3167</v>
      </c>
      <c r="C154" t="s">
        <v>1271</v>
      </c>
      <c r="D154" s="33">
        <v>145.25</v>
      </c>
    </row>
    <row r="155" spans="1:4" x14ac:dyDescent="0.25">
      <c r="A155" s="23">
        <v>154</v>
      </c>
      <c r="B155" s="34" t="s">
        <v>3275</v>
      </c>
      <c r="C155" t="s">
        <v>1873</v>
      </c>
      <c r="D155" s="33">
        <v>145.02000000000001</v>
      </c>
    </row>
    <row r="156" spans="1:4" x14ac:dyDescent="0.25">
      <c r="A156" s="23">
        <v>155</v>
      </c>
      <c r="B156" s="34" t="s">
        <v>3353</v>
      </c>
      <c r="C156" t="s">
        <v>2305</v>
      </c>
      <c r="D156" s="33">
        <v>144.84</v>
      </c>
    </row>
    <row r="157" spans="1:4" x14ac:dyDescent="0.25">
      <c r="A157" s="23">
        <v>156</v>
      </c>
      <c r="B157" s="34" t="s">
        <v>3263</v>
      </c>
      <c r="C157" t="s">
        <v>1790</v>
      </c>
      <c r="D157" s="33">
        <v>143.75</v>
      </c>
    </row>
    <row r="158" spans="1:4" x14ac:dyDescent="0.25">
      <c r="A158" s="23">
        <v>157</v>
      </c>
      <c r="B158" s="34" t="s">
        <v>3300</v>
      </c>
      <c r="C158" t="s">
        <v>2005</v>
      </c>
      <c r="D158" s="33">
        <v>143.75</v>
      </c>
    </row>
    <row r="159" spans="1:4" x14ac:dyDescent="0.25">
      <c r="A159" s="23">
        <v>158</v>
      </c>
      <c r="B159" s="34" t="s">
        <v>3240</v>
      </c>
      <c r="C159" t="s">
        <v>1653</v>
      </c>
      <c r="D159" s="33">
        <v>143.25</v>
      </c>
    </row>
    <row r="160" spans="1:4" x14ac:dyDescent="0.25">
      <c r="A160" s="23">
        <v>159</v>
      </c>
      <c r="B160" s="34" t="s">
        <v>3146</v>
      </c>
      <c r="C160" t="s">
        <v>1162</v>
      </c>
      <c r="D160" s="33">
        <v>142.30000000000001</v>
      </c>
    </row>
    <row r="161" spans="1:4" x14ac:dyDescent="0.25">
      <c r="A161" s="23">
        <v>160</v>
      </c>
      <c r="B161" s="34" t="s">
        <v>3248</v>
      </c>
      <c r="C161" t="s">
        <v>1689</v>
      </c>
      <c r="D161" s="33">
        <v>141.5</v>
      </c>
    </row>
    <row r="162" spans="1:4" x14ac:dyDescent="0.25">
      <c r="A162" s="23">
        <v>161</v>
      </c>
      <c r="B162" s="34" t="s">
        <v>3199</v>
      </c>
      <c r="C162" t="s">
        <v>2714</v>
      </c>
      <c r="D162" s="33">
        <v>141.29</v>
      </c>
    </row>
    <row r="163" spans="1:4" x14ac:dyDescent="0.25">
      <c r="A163" s="23">
        <v>162</v>
      </c>
      <c r="B163" s="34" t="s">
        <v>3208</v>
      </c>
      <c r="C163" t="s">
        <v>1483</v>
      </c>
      <c r="D163" s="33">
        <v>141.25</v>
      </c>
    </row>
    <row r="164" spans="1:4" x14ac:dyDescent="0.25">
      <c r="A164" s="23">
        <v>163</v>
      </c>
      <c r="B164" s="34" t="s">
        <v>3220</v>
      </c>
      <c r="C164" t="s">
        <v>3387</v>
      </c>
      <c r="D164" s="33">
        <v>140.30000000000001</v>
      </c>
    </row>
    <row r="165" spans="1:4" x14ac:dyDescent="0.25">
      <c r="A165" s="23">
        <v>164</v>
      </c>
      <c r="B165" s="34" t="s">
        <v>3266</v>
      </c>
      <c r="C165" t="s">
        <v>1816</v>
      </c>
      <c r="D165" s="33">
        <v>140.25</v>
      </c>
    </row>
    <row r="166" spans="1:4" x14ac:dyDescent="0.25">
      <c r="A166" s="23">
        <v>165</v>
      </c>
      <c r="B166" s="34" t="s">
        <v>3278</v>
      </c>
      <c r="C166" t="s">
        <v>1887</v>
      </c>
      <c r="D166" s="33">
        <v>140</v>
      </c>
    </row>
    <row r="167" spans="1:4" x14ac:dyDescent="0.25">
      <c r="A167" s="23">
        <v>166</v>
      </c>
      <c r="B167" s="34" t="s">
        <v>3224</v>
      </c>
      <c r="C167" t="s">
        <v>1560</v>
      </c>
      <c r="D167" s="33">
        <v>139.80000000000001</v>
      </c>
    </row>
    <row r="168" spans="1:4" x14ac:dyDescent="0.25">
      <c r="A168" s="23">
        <v>167</v>
      </c>
      <c r="B168" s="34" t="s">
        <v>3337</v>
      </c>
      <c r="C168" t="s">
        <v>2216</v>
      </c>
      <c r="D168" s="33">
        <v>139</v>
      </c>
    </row>
    <row r="169" spans="1:4" x14ac:dyDescent="0.25">
      <c r="A169" s="23">
        <v>168</v>
      </c>
      <c r="B169" s="34" t="s">
        <v>3360</v>
      </c>
      <c r="C169" t="s">
        <v>2344</v>
      </c>
      <c r="D169" s="33">
        <v>139</v>
      </c>
    </row>
    <row r="170" spans="1:4" x14ac:dyDescent="0.25">
      <c r="A170" s="23">
        <v>169</v>
      </c>
      <c r="B170" s="34" t="s">
        <v>3192</v>
      </c>
      <c r="C170" t="s">
        <v>1412</v>
      </c>
      <c r="D170" s="33">
        <v>138</v>
      </c>
    </row>
    <row r="171" spans="1:4" x14ac:dyDescent="0.25">
      <c r="A171" s="23">
        <v>170</v>
      </c>
      <c r="B171" s="34" t="s">
        <v>3289</v>
      </c>
      <c r="C171" t="s">
        <v>1938</v>
      </c>
      <c r="D171" s="33">
        <v>137.5</v>
      </c>
    </row>
    <row r="172" spans="1:4" x14ac:dyDescent="0.25">
      <c r="A172" s="23">
        <v>171</v>
      </c>
      <c r="B172" s="34" t="s">
        <v>3264</v>
      </c>
      <c r="C172" t="s">
        <v>2732</v>
      </c>
      <c r="D172" s="33">
        <v>137.5</v>
      </c>
    </row>
    <row r="173" spans="1:4" x14ac:dyDescent="0.25">
      <c r="A173" s="23">
        <v>172</v>
      </c>
      <c r="B173" s="34" t="s">
        <v>3181</v>
      </c>
      <c r="C173" t="s">
        <v>1352</v>
      </c>
      <c r="D173" s="33">
        <v>137.18</v>
      </c>
    </row>
    <row r="174" spans="1:4" x14ac:dyDescent="0.25">
      <c r="A174" s="23">
        <v>173</v>
      </c>
      <c r="B174" s="34" t="s">
        <v>3189</v>
      </c>
      <c r="C174" t="s">
        <v>1391</v>
      </c>
      <c r="D174" s="33">
        <v>137.04</v>
      </c>
    </row>
    <row r="175" spans="1:4" x14ac:dyDescent="0.25">
      <c r="A175" s="23">
        <v>174</v>
      </c>
      <c r="B175" s="34" t="s">
        <v>3159</v>
      </c>
      <c r="C175" t="s">
        <v>1224</v>
      </c>
      <c r="D175" s="33">
        <v>136.75</v>
      </c>
    </row>
    <row r="176" spans="1:4" x14ac:dyDescent="0.25">
      <c r="A176" s="23">
        <v>175</v>
      </c>
      <c r="B176" s="34" t="s">
        <v>3274</v>
      </c>
      <c r="C176" t="s">
        <v>1867</v>
      </c>
      <c r="D176" s="33">
        <v>136.30000000000001</v>
      </c>
    </row>
    <row r="177" spans="1:4" x14ac:dyDescent="0.25">
      <c r="A177" s="23">
        <v>176</v>
      </c>
      <c r="B177" s="34" t="s">
        <v>3308</v>
      </c>
      <c r="C177" t="s">
        <v>2773</v>
      </c>
      <c r="D177" s="33">
        <v>136.25</v>
      </c>
    </row>
    <row r="178" spans="1:4" x14ac:dyDescent="0.25">
      <c r="A178" s="23">
        <v>177</v>
      </c>
      <c r="B178" s="34" t="s">
        <v>3245</v>
      </c>
      <c r="C178" t="s">
        <v>1676</v>
      </c>
      <c r="D178" s="33">
        <v>136</v>
      </c>
    </row>
    <row r="179" spans="1:4" x14ac:dyDescent="0.25">
      <c r="A179" s="23">
        <v>178</v>
      </c>
      <c r="B179" s="34" t="s">
        <v>3221</v>
      </c>
      <c r="C179" t="s">
        <v>1548</v>
      </c>
      <c r="D179" s="33">
        <v>135.5</v>
      </c>
    </row>
    <row r="180" spans="1:4" x14ac:dyDescent="0.25">
      <c r="A180" s="23">
        <v>179</v>
      </c>
      <c r="B180" s="34" t="s">
        <v>3177</v>
      </c>
      <c r="C180" t="s">
        <v>1325</v>
      </c>
      <c r="D180" s="33">
        <v>135.5</v>
      </c>
    </row>
    <row r="181" spans="1:4" x14ac:dyDescent="0.25">
      <c r="A181" s="23">
        <v>180</v>
      </c>
      <c r="B181" s="34" t="s">
        <v>3291</v>
      </c>
      <c r="C181" t="s">
        <v>1950</v>
      </c>
      <c r="D181" s="33">
        <v>135.5</v>
      </c>
    </row>
    <row r="182" spans="1:4" x14ac:dyDescent="0.25">
      <c r="A182" s="23">
        <v>181</v>
      </c>
      <c r="B182" s="34" t="s">
        <v>3179</v>
      </c>
      <c r="C182" t="s">
        <v>1336</v>
      </c>
      <c r="D182" s="33">
        <v>135.34</v>
      </c>
    </row>
    <row r="183" spans="1:4" x14ac:dyDescent="0.25">
      <c r="A183" s="23">
        <v>182</v>
      </c>
      <c r="B183" s="34" t="s">
        <v>3283</v>
      </c>
      <c r="C183" t="s">
        <v>1910</v>
      </c>
      <c r="D183" s="33">
        <v>135</v>
      </c>
    </row>
    <row r="184" spans="1:4" x14ac:dyDescent="0.25">
      <c r="A184" s="23">
        <v>183</v>
      </c>
      <c r="B184" s="34" t="s">
        <v>3166</v>
      </c>
      <c r="C184" t="s">
        <v>1267</v>
      </c>
      <c r="D184" s="33">
        <v>134.75</v>
      </c>
    </row>
    <row r="185" spans="1:4" x14ac:dyDescent="0.25">
      <c r="A185" s="23">
        <v>184</v>
      </c>
      <c r="B185" s="34" t="s">
        <v>3236</v>
      </c>
      <c r="C185" t="s">
        <v>1635</v>
      </c>
      <c r="D185" s="33">
        <v>134.75</v>
      </c>
    </row>
    <row r="186" spans="1:4" x14ac:dyDescent="0.25">
      <c r="A186" s="23">
        <v>185</v>
      </c>
      <c r="B186" s="34" t="s">
        <v>3261</v>
      </c>
      <c r="C186" t="s">
        <v>1776</v>
      </c>
      <c r="D186" s="33">
        <v>134.38</v>
      </c>
    </row>
    <row r="187" spans="1:4" x14ac:dyDescent="0.25">
      <c r="A187" s="23">
        <v>186</v>
      </c>
      <c r="B187" s="34" t="s">
        <v>3294</v>
      </c>
      <c r="C187" t="s">
        <v>1968</v>
      </c>
      <c r="D187" s="33">
        <v>134.25</v>
      </c>
    </row>
    <row r="188" spans="1:4" x14ac:dyDescent="0.25">
      <c r="A188" s="23">
        <v>187</v>
      </c>
      <c r="B188" s="34" t="s">
        <v>3272</v>
      </c>
      <c r="C188" t="s">
        <v>1846</v>
      </c>
      <c r="D188" s="33">
        <v>133.94</v>
      </c>
    </row>
    <row r="189" spans="1:4" x14ac:dyDescent="0.25">
      <c r="A189" s="23">
        <v>188</v>
      </c>
      <c r="B189" s="34" t="s">
        <v>3316</v>
      </c>
      <c r="C189" t="s">
        <v>2108</v>
      </c>
      <c r="D189" s="33">
        <v>133</v>
      </c>
    </row>
    <row r="190" spans="1:4" x14ac:dyDescent="0.25">
      <c r="A190" s="23">
        <v>189</v>
      </c>
      <c r="B190" s="34" t="s">
        <v>3148</v>
      </c>
      <c r="C190" t="s">
        <v>1174</v>
      </c>
      <c r="D190" s="33">
        <v>133</v>
      </c>
    </row>
    <row r="191" spans="1:4" x14ac:dyDescent="0.25">
      <c r="A191" s="23">
        <v>190</v>
      </c>
      <c r="B191" s="34" t="s">
        <v>3198</v>
      </c>
      <c r="C191" t="s">
        <v>1439</v>
      </c>
      <c r="D191" s="33">
        <v>132.5</v>
      </c>
    </row>
    <row r="192" spans="1:4" x14ac:dyDescent="0.25">
      <c r="A192" s="23">
        <v>191</v>
      </c>
      <c r="B192" s="34" t="s">
        <v>3149</v>
      </c>
      <c r="C192" t="s">
        <v>1179</v>
      </c>
      <c r="D192" s="33">
        <v>130.34</v>
      </c>
    </row>
    <row r="193" spans="1:4" x14ac:dyDescent="0.25">
      <c r="A193" s="23">
        <v>192</v>
      </c>
      <c r="B193" s="34" t="s">
        <v>3251</v>
      </c>
      <c r="C193" t="s">
        <v>1711</v>
      </c>
      <c r="D193" s="33">
        <v>129.25</v>
      </c>
    </row>
    <row r="194" spans="1:4" x14ac:dyDescent="0.25">
      <c r="A194" s="23">
        <v>193</v>
      </c>
      <c r="B194" s="34" t="s">
        <v>3175</v>
      </c>
      <c r="C194" t="s">
        <v>2694</v>
      </c>
      <c r="D194" s="33">
        <v>128.5</v>
      </c>
    </row>
    <row r="195" spans="1:4" x14ac:dyDescent="0.25">
      <c r="A195" s="23">
        <v>194</v>
      </c>
      <c r="B195" s="34" t="s">
        <v>3273</v>
      </c>
      <c r="C195" t="s">
        <v>1857</v>
      </c>
      <c r="D195" s="33">
        <v>127.5</v>
      </c>
    </row>
    <row r="196" spans="1:4" x14ac:dyDescent="0.25">
      <c r="A196" s="23">
        <v>195</v>
      </c>
      <c r="B196" s="34" t="s">
        <v>3262</v>
      </c>
      <c r="C196" t="s">
        <v>1785</v>
      </c>
      <c r="D196" s="33">
        <v>126.8</v>
      </c>
    </row>
    <row r="197" spans="1:4" x14ac:dyDescent="0.25">
      <c r="A197" s="23">
        <v>196</v>
      </c>
      <c r="B197" s="34" t="s">
        <v>3243</v>
      </c>
      <c r="C197" t="s">
        <v>1667</v>
      </c>
      <c r="D197" s="33">
        <v>126.05</v>
      </c>
    </row>
    <row r="198" spans="1:4" x14ac:dyDescent="0.25">
      <c r="A198" s="23">
        <v>197</v>
      </c>
      <c r="B198" s="34" t="s">
        <v>3345</v>
      </c>
      <c r="C198" t="s">
        <v>2260</v>
      </c>
      <c r="D198" s="33">
        <v>126</v>
      </c>
    </row>
    <row r="199" spans="1:4" x14ac:dyDescent="0.25">
      <c r="A199" s="23">
        <v>198</v>
      </c>
      <c r="B199" s="34" t="s">
        <v>3157</v>
      </c>
      <c r="C199" t="s">
        <v>1215</v>
      </c>
      <c r="D199" s="33">
        <v>125.55</v>
      </c>
    </row>
    <row r="200" spans="1:4" x14ac:dyDescent="0.25">
      <c r="A200" s="23">
        <v>199</v>
      </c>
      <c r="B200" s="34" t="s">
        <v>3246</v>
      </c>
      <c r="C200" t="s">
        <v>1680</v>
      </c>
      <c r="D200" s="33">
        <v>125.25</v>
      </c>
    </row>
    <row r="201" spans="1:4" x14ac:dyDescent="0.25">
      <c r="A201" s="23">
        <v>200</v>
      </c>
      <c r="B201" s="34" t="s">
        <v>3302</v>
      </c>
      <c r="C201" t="s">
        <v>2013</v>
      </c>
      <c r="D201" s="33">
        <v>123.68</v>
      </c>
    </row>
    <row r="202" spans="1:4" x14ac:dyDescent="0.25">
      <c r="A202" s="23">
        <v>201</v>
      </c>
      <c r="B202" s="34" t="s">
        <v>3218</v>
      </c>
      <c r="C202" t="s">
        <v>2723</v>
      </c>
      <c r="D202" s="33">
        <v>123.25</v>
      </c>
    </row>
    <row r="203" spans="1:4" x14ac:dyDescent="0.25">
      <c r="A203" s="23">
        <v>202</v>
      </c>
      <c r="B203" s="34" t="s">
        <v>3190</v>
      </c>
      <c r="C203" t="s">
        <v>1396</v>
      </c>
      <c r="D203" s="33">
        <v>121.05</v>
      </c>
    </row>
    <row r="204" spans="1:4" x14ac:dyDescent="0.25">
      <c r="A204" s="23">
        <v>203</v>
      </c>
      <c r="B204" s="34" t="s">
        <v>1727</v>
      </c>
      <c r="C204" t="s">
        <v>1722</v>
      </c>
      <c r="D204" s="33">
        <v>119.75</v>
      </c>
    </row>
    <row r="205" spans="1:4" x14ac:dyDescent="0.25">
      <c r="A205" s="23">
        <v>204</v>
      </c>
      <c r="B205" s="34" t="s">
        <v>3276</v>
      </c>
      <c r="C205" t="s">
        <v>1878</v>
      </c>
      <c r="D205" s="33">
        <v>118.75</v>
      </c>
    </row>
    <row r="206" spans="1:4" x14ac:dyDescent="0.25">
      <c r="A206" s="23">
        <v>205</v>
      </c>
      <c r="B206" s="34" t="s">
        <v>3210</v>
      </c>
      <c r="C206" t="s">
        <v>1493</v>
      </c>
      <c r="D206" s="33">
        <v>118.25</v>
      </c>
    </row>
    <row r="207" spans="1:4" x14ac:dyDescent="0.25">
      <c r="A207" s="23">
        <v>206</v>
      </c>
      <c r="B207" s="34" t="s">
        <v>3213</v>
      </c>
      <c r="C207" t="s">
        <v>1509</v>
      </c>
      <c r="D207" s="33">
        <v>118.05</v>
      </c>
    </row>
    <row r="208" spans="1:4" x14ac:dyDescent="0.25">
      <c r="A208" s="23">
        <v>207</v>
      </c>
      <c r="B208" s="34" t="s">
        <v>3230</v>
      </c>
      <c r="C208" t="s">
        <v>1600</v>
      </c>
      <c r="D208" s="33">
        <v>117</v>
      </c>
    </row>
    <row r="209" spans="1:4" x14ac:dyDescent="0.25">
      <c r="A209" s="23">
        <v>208</v>
      </c>
      <c r="B209" s="34" t="s">
        <v>3158</v>
      </c>
      <c r="C209" t="s">
        <v>1220</v>
      </c>
      <c r="D209" s="33">
        <v>115.77</v>
      </c>
    </row>
    <row r="210" spans="1:4" x14ac:dyDescent="0.25">
      <c r="A210" s="23">
        <v>209</v>
      </c>
      <c r="B210" s="34" t="s">
        <v>3150</v>
      </c>
      <c r="C210" t="s">
        <v>1183</v>
      </c>
      <c r="D210" s="33">
        <v>108.38</v>
      </c>
    </row>
    <row r="211" spans="1:4" x14ac:dyDescent="0.25">
      <c r="A211" s="23">
        <v>210</v>
      </c>
      <c r="B211" s="34" t="s">
        <v>3165</v>
      </c>
      <c r="C211" t="s">
        <v>1262</v>
      </c>
      <c r="D211" s="33">
        <v>107.63</v>
      </c>
    </row>
    <row r="212" spans="1:4" x14ac:dyDescent="0.25">
      <c r="A212" s="23">
        <v>211</v>
      </c>
      <c r="B212" s="34" t="s">
        <v>3200</v>
      </c>
      <c r="C212" t="s">
        <v>1444</v>
      </c>
      <c r="D212" s="33">
        <v>106.75</v>
      </c>
    </row>
    <row r="213" spans="1:4" x14ac:dyDescent="0.25">
      <c r="B213" s="34" t="s">
        <v>3366</v>
      </c>
      <c r="C213" t="s">
        <v>1341</v>
      </c>
      <c r="D213" s="33" t="s">
        <v>3386</v>
      </c>
    </row>
    <row r="214" spans="1:4" x14ac:dyDescent="0.25">
      <c r="B214" s="34" t="s">
        <v>3367</v>
      </c>
      <c r="C214" t="s">
        <v>1402</v>
      </c>
      <c r="D214" s="33" t="s">
        <v>3386</v>
      </c>
    </row>
    <row r="215" spans="1:4" x14ac:dyDescent="0.25">
      <c r="B215" s="34" t="s">
        <v>3368</v>
      </c>
      <c r="C215" t="s">
        <v>1501</v>
      </c>
      <c r="D215" s="33" t="s">
        <v>3386</v>
      </c>
    </row>
    <row r="216" spans="1:4" x14ac:dyDescent="0.25">
      <c r="B216" s="34" t="s">
        <v>3369</v>
      </c>
      <c r="C216" t="s">
        <v>1519</v>
      </c>
      <c r="D216" s="33" t="s">
        <v>3386</v>
      </c>
    </row>
    <row r="217" spans="1:4" x14ac:dyDescent="0.25">
      <c r="B217" s="34" t="s">
        <v>3370</v>
      </c>
      <c r="C217" t="s">
        <v>1564</v>
      </c>
      <c r="D217" s="33" t="s">
        <v>3386</v>
      </c>
    </row>
    <row r="218" spans="1:4" x14ac:dyDescent="0.25">
      <c r="B218" s="34" t="s">
        <v>3371</v>
      </c>
      <c r="C218" t="s">
        <v>1630</v>
      </c>
      <c r="D218" s="33" t="s">
        <v>3386</v>
      </c>
    </row>
    <row r="219" spans="1:4" x14ac:dyDescent="0.25">
      <c r="B219" s="34" t="s">
        <v>3374</v>
      </c>
      <c r="C219" t="s">
        <v>1755</v>
      </c>
      <c r="D219" s="33" t="s">
        <v>3386</v>
      </c>
    </row>
    <row r="220" spans="1:4" x14ac:dyDescent="0.25">
      <c r="B220" s="34" t="s">
        <v>3375</v>
      </c>
      <c r="C220" t="s">
        <v>1780</v>
      </c>
      <c r="D220" s="33" t="s">
        <v>3386</v>
      </c>
    </row>
    <row r="221" spans="1:4" x14ac:dyDescent="0.25">
      <c r="B221" s="34" t="s">
        <v>3376</v>
      </c>
      <c r="C221" t="s">
        <v>1795</v>
      </c>
      <c r="D221" s="33" t="s">
        <v>3386</v>
      </c>
    </row>
    <row r="222" spans="1:4" x14ac:dyDescent="0.25">
      <c r="B222" s="34" t="s">
        <v>3377</v>
      </c>
      <c r="C222" t="s">
        <v>1851</v>
      </c>
      <c r="D222" s="33" t="s">
        <v>3386</v>
      </c>
    </row>
    <row r="223" spans="1:4" x14ac:dyDescent="0.25">
      <c r="B223" s="34" t="s">
        <v>3378</v>
      </c>
      <c r="C223" t="s">
        <v>1862</v>
      </c>
      <c r="D223" s="33" t="s">
        <v>3386</v>
      </c>
    </row>
    <row r="224" spans="1:4" x14ac:dyDescent="0.25">
      <c r="B224" s="34" t="s">
        <v>3379</v>
      </c>
      <c r="C224" t="s">
        <v>1963</v>
      </c>
      <c r="D224" s="33" t="s">
        <v>3386</v>
      </c>
    </row>
    <row r="225" spans="2:4" x14ac:dyDescent="0.25">
      <c r="B225" s="34" t="s">
        <v>3380</v>
      </c>
      <c r="C225" t="s">
        <v>2029</v>
      </c>
      <c r="D225" s="33" t="s">
        <v>3386</v>
      </c>
    </row>
    <row r="226" spans="2:4" x14ac:dyDescent="0.25">
      <c r="B226" s="34" t="s">
        <v>3381</v>
      </c>
      <c r="C226" t="s">
        <v>2033</v>
      </c>
      <c r="D226" s="33" t="s">
        <v>3386</v>
      </c>
    </row>
    <row r="227" spans="2:4" x14ac:dyDescent="0.25">
      <c r="B227" s="34" t="s">
        <v>3382</v>
      </c>
      <c r="C227" t="s">
        <v>2050</v>
      </c>
      <c r="D227" s="33" t="s">
        <v>3386</v>
      </c>
    </row>
    <row r="228" spans="2:4" x14ac:dyDescent="0.25">
      <c r="B228" s="34" t="s">
        <v>3383</v>
      </c>
      <c r="C228" t="s">
        <v>2146</v>
      </c>
      <c r="D228" s="33" t="s">
        <v>3386</v>
      </c>
    </row>
    <row r="229" spans="2:4" x14ac:dyDescent="0.25">
      <c r="B229" s="34" t="s">
        <v>3384</v>
      </c>
      <c r="C229" t="s">
        <v>2192</v>
      </c>
      <c r="D229" s="33" t="s">
        <v>3386</v>
      </c>
    </row>
    <row r="230" spans="2:4" x14ac:dyDescent="0.25">
      <c r="B230" s="34" t="s">
        <v>3385</v>
      </c>
      <c r="C230" t="s">
        <v>2328</v>
      </c>
      <c r="D230" s="33" t="s">
        <v>3386</v>
      </c>
    </row>
  </sheetData>
  <sortState xmlns:xlrd2="http://schemas.microsoft.com/office/spreadsheetml/2017/richdata2" ref="A2:D212">
    <sortCondition ref="B2:B2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DFDE-E8CB-42B5-983E-B17739FD7FB5}">
  <sheetPr codeName="Munka17"/>
  <dimension ref="A1:A15"/>
  <sheetViews>
    <sheetView workbookViewId="0">
      <selection activeCell="U26" sqref="U26"/>
    </sheetView>
  </sheetViews>
  <sheetFormatPr defaultRowHeight="15" x14ac:dyDescent="0.25"/>
  <sheetData>
    <row r="1" spans="1:1" ht="17.25" x14ac:dyDescent="0.3">
      <c r="A1" s="25" t="s">
        <v>2798</v>
      </c>
    </row>
    <row r="2" spans="1:1" x14ac:dyDescent="0.25">
      <c r="A2">
        <v>101</v>
      </c>
    </row>
    <row r="3" spans="1:1" x14ac:dyDescent="0.25">
      <c r="A3">
        <v>102</v>
      </c>
    </row>
    <row r="4" spans="1:1" x14ac:dyDescent="0.25">
      <c r="A4">
        <v>103</v>
      </c>
    </row>
    <row r="5" spans="1:1" x14ac:dyDescent="0.25">
      <c r="A5">
        <v>105</v>
      </c>
    </row>
    <row r="6" spans="1:1" x14ac:dyDescent="0.25">
      <c r="A6">
        <v>201</v>
      </c>
    </row>
    <row r="7" spans="1:1" x14ac:dyDescent="0.25">
      <c r="A7">
        <v>202</v>
      </c>
    </row>
    <row r="8" spans="1:1" x14ac:dyDescent="0.25">
      <c r="A8">
        <v>203</v>
      </c>
    </row>
    <row r="9" spans="1:1" x14ac:dyDescent="0.25">
      <c r="A9">
        <v>204</v>
      </c>
    </row>
    <row r="10" spans="1:1" x14ac:dyDescent="0.25">
      <c r="A10">
        <v>205</v>
      </c>
    </row>
    <row r="11" spans="1:1" x14ac:dyDescent="0.25">
      <c r="A11">
        <v>206</v>
      </c>
    </row>
    <row r="12" spans="1:1" x14ac:dyDescent="0.25">
      <c r="A12">
        <v>207</v>
      </c>
    </row>
    <row r="13" spans="1:1" x14ac:dyDescent="0.25">
      <c r="A13">
        <v>208</v>
      </c>
    </row>
    <row r="14" spans="1:1" x14ac:dyDescent="0.25">
      <c r="A14">
        <v>209</v>
      </c>
    </row>
    <row r="15" spans="1:1" x14ac:dyDescent="0.25">
      <c r="A15">
        <v>210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7CBAD-9C6E-40D7-B230-2BE80570CEC9}">
  <sheetPr codeName="Munka1"/>
  <dimension ref="A1:M253"/>
  <sheetViews>
    <sheetView tabSelected="1" zoomScaleNormal="100" workbookViewId="0">
      <selection activeCell="G24" sqref="G24"/>
    </sheetView>
  </sheetViews>
  <sheetFormatPr defaultRowHeight="15" x14ac:dyDescent="0.25"/>
  <cols>
    <col min="1" max="1" width="31" bestFit="1" customWidth="1"/>
    <col min="2" max="2" width="12" bestFit="1" customWidth="1"/>
    <col min="3" max="3" width="9.5703125" bestFit="1" customWidth="1"/>
    <col min="4" max="4" width="13.5703125" customWidth="1"/>
    <col min="5" max="5" width="13.85546875" bestFit="1" customWidth="1"/>
    <col min="7" max="7" width="14.140625" bestFit="1" customWidth="1"/>
    <col min="9" max="9" width="8.5703125" bestFit="1" customWidth="1"/>
    <col min="11" max="11" width="8.5703125" bestFit="1" customWidth="1"/>
    <col min="12" max="12" width="14" bestFit="1" customWidth="1"/>
    <col min="13" max="14" width="13.42578125" customWidth="1"/>
    <col min="15" max="15" width="9.85546875" bestFit="1" customWidth="1"/>
    <col min="21" max="22" width="10.140625" bestFit="1" customWidth="1"/>
  </cols>
  <sheetData>
    <row r="1" spans="1:13" x14ac:dyDescent="0.25">
      <c r="A1" t="s">
        <v>1050</v>
      </c>
      <c r="B1" t="s">
        <v>673</v>
      </c>
      <c r="C1" t="s">
        <v>1051</v>
      </c>
      <c r="D1" t="s">
        <v>21</v>
      </c>
      <c r="E1" t="s">
        <v>37</v>
      </c>
      <c r="F1" t="s">
        <v>0</v>
      </c>
      <c r="G1" t="s">
        <v>1052</v>
      </c>
      <c r="H1" t="s">
        <v>699</v>
      </c>
      <c r="I1" t="s">
        <v>700</v>
      </c>
      <c r="J1" t="s">
        <v>701</v>
      </c>
      <c r="K1" t="s">
        <v>702</v>
      </c>
      <c r="L1" t="s">
        <v>687</v>
      </c>
      <c r="M1" t="s">
        <v>692</v>
      </c>
    </row>
    <row r="2" spans="1:13" x14ac:dyDescent="0.25">
      <c r="A2" t="s">
        <v>1154</v>
      </c>
      <c r="B2">
        <v>73397704076</v>
      </c>
      <c r="C2">
        <v>1000</v>
      </c>
      <c r="D2" t="s">
        <v>707</v>
      </c>
      <c r="H2" t="s">
        <v>707</v>
      </c>
      <c r="I2" t="s">
        <v>707</v>
      </c>
      <c r="J2" t="s">
        <v>707</v>
      </c>
      <c r="K2" t="s">
        <v>707</v>
      </c>
      <c r="L2">
        <v>79</v>
      </c>
      <c r="M2">
        <v>167.29</v>
      </c>
    </row>
    <row r="3" spans="1:13" x14ac:dyDescent="0.25">
      <c r="A3" t="s">
        <v>1158</v>
      </c>
      <c r="B3">
        <v>73458204705</v>
      </c>
      <c r="H3" t="s">
        <v>707</v>
      </c>
      <c r="I3" t="s">
        <v>707</v>
      </c>
      <c r="J3" t="s">
        <v>707</v>
      </c>
      <c r="K3" t="s">
        <v>707</v>
      </c>
      <c r="L3">
        <v>75</v>
      </c>
      <c r="M3">
        <v>168.75</v>
      </c>
    </row>
    <row r="4" spans="1:13" x14ac:dyDescent="0.25">
      <c r="A4" t="s">
        <v>1162</v>
      </c>
      <c r="B4">
        <v>73368662837</v>
      </c>
      <c r="C4">
        <v>2000</v>
      </c>
      <c r="D4" t="s">
        <v>707</v>
      </c>
      <c r="H4" t="s">
        <v>707</v>
      </c>
      <c r="I4" t="s">
        <v>707</v>
      </c>
      <c r="J4" t="s">
        <v>707</v>
      </c>
      <c r="K4" t="s">
        <v>707</v>
      </c>
      <c r="L4">
        <v>63</v>
      </c>
      <c r="M4">
        <v>142.30000000000001</v>
      </c>
    </row>
    <row r="5" spans="1:13" x14ac:dyDescent="0.25">
      <c r="A5" t="s">
        <v>1168</v>
      </c>
      <c r="B5">
        <v>73408066413</v>
      </c>
      <c r="E5" t="s">
        <v>707</v>
      </c>
      <c r="H5" t="s">
        <v>707</v>
      </c>
      <c r="I5" t="s">
        <v>707</v>
      </c>
      <c r="J5" t="s">
        <v>707</v>
      </c>
      <c r="L5">
        <v>82</v>
      </c>
      <c r="M5">
        <v>160.5</v>
      </c>
    </row>
    <row r="6" spans="1:13" x14ac:dyDescent="0.25">
      <c r="A6" t="s">
        <v>1174</v>
      </c>
      <c r="B6">
        <v>73403951239</v>
      </c>
      <c r="F6" t="s">
        <v>707</v>
      </c>
      <c r="H6" t="s">
        <v>707</v>
      </c>
      <c r="I6" t="s">
        <v>707</v>
      </c>
      <c r="J6" t="s">
        <v>707</v>
      </c>
      <c r="K6" t="s">
        <v>707</v>
      </c>
      <c r="L6">
        <v>72</v>
      </c>
      <c r="M6">
        <v>133</v>
      </c>
    </row>
    <row r="7" spans="1:13" x14ac:dyDescent="0.25">
      <c r="A7" t="s">
        <v>1179</v>
      </c>
      <c r="B7">
        <v>73450208118</v>
      </c>
      <c r="C7">
        <v>3000</v>
      </c>
      <c r="D7" t="s">
        <v>707</v>
      </c>
      <c r="H7" t="s">
        <v>707</v>
      </c>
      <c r="I7" t="s">
        <v>707</v>
      </c>
      <c r="L7">
        <v>69</v>
      </c>
      <c r="M7">
        <v>130.34</v>
      </c>
    </row>
    <row r="8" spans="1:13" x14ac:dyDescent="0.25">
      <c r="A8" t="s">
        <v>1183</v>
      </c>
      <c r="B8">
        <v>73396287451</v>
      </c>
      <c r="G8" t="s">
        <v>707</v>
      </c>
      <c r="H8" t="s">
        <v>707</v>
      </c>
      <c r="I8" t="s">
        <v>707</v>
      </c>
      <c r="L8">
        <v>59</v>
      </c>
      <c r="M8">
        <v>108.38</v>
      </c>
    </row>
    <row r="9" spans="1:13" x14ac:dyDescent="0.25">
      <c r="A9" t="s">
        <v>1187</v>
      </c>
      <c r="B9">
        <v>73388245475</v>
      </c>
      <c r="H9" t="s">
        <v>707</v>
      </c>
      <c r="J9" t="s">
        <v>707</v>
      </c>
      <c r="L9">
        <v>82</v>
      </c>
      <c r="M9">
        <v>160.5</v>
      </c>
    </row>
    <row r="10" spans="1:13" x14ac:dyDescent="0.25">
      <c r="A10" t="s">
        <v>1192</v>
      </c>
      <c r="B10">
        <v>73423065466</v>
      </c>
      <c r="H10" t="s">
        <v>707</v>
      </c>
      <c r="I10" t="s">
        <v>707</v>
      </c>
      <c r="L10">
        <v>83</v>
      </c>
      <c r="M10">
        <v>165.75</v>
      </c>
    </row>
    <row r="11" spans="1:13" x14ac:dyDescent="0.25">
      <c r="A11" t="s">
        <v>1197</v>
      </c>
      <c r="B11">
        <v>73444954982</v>
      </c>
      <c r="H11" t="s">
        <v>707</v>
      </c>
      <c r="I11" t="s">
        <v>707</v>
      </c>
      <c r="L11">
        <v>90</v>
      </c>
      <c r="M11">
        <v>180.5</v>
      </c>
    </row>
    <row r="12" spans="1:13" x14ac:dyDescent="0.25">
      <c r="A12" t="s">
        <v>1201</v>
      </c>
      <c r="B12">
        <v>73447278513</v>
      </c>
      <c r="H12" t="s">
        <v>707</v>
      </c>
      <c r="J12" t="s">
        <v>707</v>
      </c>
      <c r="L12">
        <v>80</v>
      </c>
      <c r="M12">
        <v>164</v>
      </c>
    </row>
    <row r="13" spans="1:13" x14ac:dyDescent="0.25">
      <c r="A13" t="s">
        <v>1205</v>
      </c>
      <c r="B13">
        <v>73439061486</v>
      </c>
      <c r="H13" t="s">
        <v>707</v>
      </c>
      <c r="I13" t="s">
        <v>707</v>
      </c>
      <c r="J13" t="s">
        <v>707</v>
      </c>
      <c r="K13" t="s">
        <v>707</v>
      </c>
      <c r="L13">
        <v>79</v>
      </c>
      <c r="M13">
        <v>162.75</v>
      </c>
    </row>
    <row r="14" spans="1:13" x14ac:dyDescent="0.25">
      <c r="A14" t="s">
        <v>1210</v>
      </c>
      <c r="B14">
        <v>73414539651</v>
      </c>
      <c r="H14" t="s">
        <v>707</v>
      </c>
      <c r="L14">
        <v>84</v>
      </c>
      <c r="M14">
        <v>175</v>
      </c>
    </row>
    <row r="15" spans="1:13" x14ac:dyDescent="0.25">
      <c r="A15" t="s">
        <v>1215</v>
      </c>
      <c r="B15">
        <v>73426435560</v>
      </c>
      <c r="H15" t="s">
        <v>707</v>
      </c>
      <c r="I15" t="s">
        <v>707</v>
      </c>
      <c r="J15" t="s">
        <v>707</v>
      </c>
      <c r="K15" t="s">
        <v>707</v>
      </c>
      <c r="L15">
        <v>56</v>
      </c>
      <c r="M15">
        <v>125.55</v>
      </c>
    </row>
    <row r="16" spans="1:13" x14ac:dyDescent="0.25">
      <c r="A16" t="s">
        <v>1220</v>
      </c>
      <c r="B16">
        <v>73441792245</v>
      </c>
      <c r="H16" t="s">
        <v>707</v>
      </c>
      <c r="I16" t="s">
        <v>707</v>
      </c>
      <c r="L16">
        <v>62</v>
      </c>
      <c r="M16">
        <v>115.77</v>
      </c>
    </row>
    <row r="17" spans="1:13" x14ac:dyDescent="0.25">
      <c r="A17" t="s">
        <v>1224</v>
      </c>
      <c r="B17">
        <v>73403984187</v>
      </c>
      <c r="H17" t="s">
        <v>707</v>
      </c>
      <c r="I17" t="s">
        <v>707</v>
      </c>
      <c r="J17" t="s">
        <v>707</v>
      </c>
      <c r="K17" t="s">
        <v>707</v>
      </c>
      <c r="L17">
        <v>71</v>
      </c>
      <c r="M17">
        <v>136.75</v>
      </c>
    </row>
    <row r="18" spans="1:13" x14ac:dyDescent="0.25">
      <c r="A18" t="s">
        <v>1230</v>
      </c>
      <c r="B18">
        <v>73382507642</v>
      </c>
      <c r="H18" t="s">
        <v>707</v>
      </c>
      <c r="L18">
        <v>95</v>
      </c>
      <c r="M18">
        <v>187.75</v>
      </c>
    </row>
    <row r="19" spans="1:13" x14ac:dyDescent="0.25">
      <c r="A19" t="s">
        <v>1236</v>
      </c>
      <c r="B19">
        <v>73356576262</v>
      </c>
      <c r="H19" t="s">
        <v>707</v>
      </c>
      <c r="I19" t="s">
        <v>707</v>
      </c>
      <c r="J19" t="s">
        <v>707</v>
      </c>
      <c r="K19" t="s">
        <v>707</v>
      </c>
      <c r="L19">
        <v>83</v>
      </c>
      <c r="M19">
        <v>166.75</v>
      </c>
    </row>
    <row r="20" spans="1:13" x14ac:dyDescent="0.25">
      <c r="A20" t="s">
        <v>1242</v>
      </c>
      <c r="B20">
        <v>73444449680</v>
      </c>
      <c r="K20" t="s">
        <v>707</v>
      </c>
      <c r="L20">
        <v>68</v>
      </c>
      <c r="M20">
        <v>159</v>
      </c>
    </row>
    <row r="21" spans="1:13" x14ac:dyDescent="0.25">
      <c r="A21" t="s">
        <v>1248</v>
      </c>
      <c r="B21">
        <v>73440347726</v>
      </c>
      <c r="H21" t="s">
        <v>707</v>
      </c>
      <c r="I21" t="s">
        <v>707</v>
      </c>
      <c r="L21">
        <v>71</v>
      </c>
      <c r="M21">
        <v>145.38999999999999</v>
      </c>
    </row>
    <row r="22" spans="1:13" x14ac:dyDescent="0.25">
      <c r="A22" t="s">
        <v>1253</v>
      </c>
      <c r="B22">
        <v>73412770018</v>
      </c>
      <c r="K22" t="s">
        <v>707</v>
      </c>
      <c r="L22">
        <v>65</v>
      </c>
      <c r="M22">
        <v>148.79</v>
      </c>
    </row>
    <row r="23" spans="1:13" x14ac:dyDescent="0.25">
      <c r="A23" t="s">
        <v>1257</v>
      </c>
      <c r="B23">
        <v>73415572955</v>
      </c>
      <c r="H23" t="s">
        <v>707</v>
      </c>
      <c r="I23" t="s">
        <v>707</v>
      </c>
      <c r="J23" t="s">
        <v>707</v>
      </c>
      <c r="K23" t="s">
        <v>707</v>
      </c>
      <c r="L23">
        <v>80</v>
      </c>
      <c r="M23">
        <v>154.54</v>
      </c>
    </row>
    <row r="24" spans="1:13" x14ac:dyDescent="0.25">
      <c r="A24" t="s">
        <v>1262</v>
      </c>
      <c r="B24">
        <v>73367126561</v>
      </c>
      <c r="H24" t="s">
        <v>707</v>
      </c>
      <c r="I24" t="s">
        <v>707</v>
      </c>
      <c r="K24" t="s">
        <v>707</v>
      </c>
      <c r="L24">
        <v>60</v>
      </c>
      <c r="M24">
        <v>107.63</v>
      </c>
    </row>
    <row r="25" spans="1:13" x14ac:dyDescent="0.25">
      <c r="A25" t="s">
        <v>1267</v>
      </c>
      <c r="B25">
        <v>73355303340</v>
      </c>
      <c r="H25" t="s">
        <v>707</v>
      </c>
      <c r="I25" t="s">
        <v>707</v>
      </c>
      <c r="K25" t="s">
        <v>707</v>
      </c>
      <c r="L25">
        <v>79</v>
      </c>
      <c r="M25">
        <v>134.75</v>
      </c>
    </row>
    <row r="26" spans="1:13" x14ac:dyDescent="0.25">
      <c r="A26" t="s">
        <v>1271</v>
      </c>
      <c r="B26">
        <v>73433430250</v>
      </c>
      <c r="H26" t="s">
        <v>707</v>
      </c>
      <c r="I26" t="s">
        <v>707</v>
      </c>
      <c r="L26">
        <v>61</v>
      </c>
      <c r="M26">
        <v>145.25</v>
      </c>
    </row>
    <row r="27" spans="1:13" x14ac:dyDescent="0.25">
      <c r="A27" t="s">
        <v>1276</v>
      </c>
      <c r="B27">
        <v>73397901825</v>
      </c>
      <c r="H27" t="s">
        <v>707</v>
      </c>
      <c r="I27" t="s">
        <v>707</v>
      </c>
      <c r="J27" t="s">
        <v>707</v>
      </c>
      <c r="K27" t="s">
        <v>707</v>
      </c>
      <c r="L27">
        <v>78</v>
      </c>
      <c r="M27">
        <v>166.68</v>
      </c>
    </row>
    <row r="28" spans="1:13" x14ac:dyDescent="0.25">
      <c r="A28" t="s">
        <v>1282</v>
      </c>
      <c r="B28">
        <v>73454482508</v>
      </c>
      <c r="H28" t="s">
        <v>707</v>
      </c>
      <c r="I28" t="s">
        <v>707</v>
      </c>
      <c r="J28" t="s">
        <v>707</v>
      </c>
      <c r="K28" t="s">
        <v>707</v>
      </c>
      <c r="L28">
        <v>80</v>
      </c>
      <c r="M28">
        <v>165</v>
      </c>
    </row>
    <row r="29" spans="1:13" x14ac:dyDescent="0.25">
      <c r="A29" t="s">
        <v>1288</v>
      </c>
      <c r="B29">
        <v>73372898612</v>
      </c>
      <c r="H29" t="s">
        <v>707</v>
      </c>
      <c r="I29" t="s">
        <v>707</v>
      </c>
      <c r="J29" t="s">
        <v>707</v>
      </c>
      <c r="K29" t="s">
        <v>707</v>
      </c>
      <c r="L29">
        <v>81</v>
      </c>
      <c r="M29">
        <v>163.25</v>
      </c>
    </row>
    <row r="30" spans="1:13" x14ac:dyDescent="0.25">
      <c r="A30" t="s">
        <v>1293</v>
      </c>
      <c r="B30">
        <v>73422586333</v>
      </c>
      <c r="K30" t="s">
        <v>707</v>
      </c>
      <c r="L30">
        <v>57</v>
      </c>
      <c r="M30">
        <v>140.25</v>
      </c>
    </row>
    <row r="31" spans="1:13" x14ac:dyDescent="0.25">
      <c r="A31" t="s">
        <v>1297</v>
      </c>
      <c r="B31">
        <v>73456722309</v>
      </c>
      <c r="J31" t="s">
        <v>707</v>
      </c>
      <c r="L31">
        <v>76</v>
      </c>
      <c r="M31">
        <v>153</v>
      </c>
    </row>
    <row r="32" spans="1:13" x14ac:dyDescent="0.25">
      <c r="A32" t="s">
        <v>1302</v>
      </c>
      <c r="B32">
        <v>73379507776</v>
      </c>
      <c r="J32" t="s">
        <v>707</v>
      </c>
      <c r="L32">
        <v>81</v>
      </c>
      <c r="M32">
        <v>169.25</v>
      </c>
    </row>
    <row r="33" spans="1:13" x14ac:dyDescent="0.25">
      <c r="A33" t="s">
        <v>1307</v>
      </c>
      <c r="B33">
        <v>73379908677</v>
      </c>
      <c r="H33" t="s">
        <v>707</v>
      </c>
      <c r="I33" t="s">
        <v>707</v>
      </c>
      <c r="J33" t="s">
        <v>707</v>
      </c>
      <c r="K33" t="s">
        <v>707</v>
      </c>
      <c r="L33">
        <v>69</v>
      </c>
      <c r="M33">
        <v>153.25</v>
      </c>
    </row>
    <row r="34" spans="1:13" x14ac:dyDescent="0.25">
      <c r="A34" t="s">
        <v>1312</v>
      </c>
      <c r="B34">
        <v>73356971698</v>
      </c>
      <c r="H34" t="s">
        <v>707</v>
      </c>
      <c r="J34" t="s">
        <v>707</v>
      </c>
      <c r="K34" t="s">
        <v>707</v>
      </c>
      <c r="L34">
        <v>62</v>
      </c>
      <c r="M34">
        <v>128.5</v>
      </c>
    </row>
    <row r="35" spans="1:13" x14ac:dyDescent="0.25">
      <c r="A35" t="s">
        <v>1318</v>
      </c>
      <c r="B35">
        <v>73540808263</v>
      </c>
      <c r="H35" t="s">
        <v>707</v>
      </c>
      <c r="I35" t="s">
        <v>707</v>
      </c>
      <c r="K35" t="s">
        <v>707</v>
      </c>
      <c r="L35">
        <v>73</v>
      </c>
      <c r="M35">
        <v>165.25</v>
      </c>
    </row>
    <row r="36" spans="1:13" x14ac:dyDescent="0.25">
      <c r="A36" t="s">
        <v>1325</v>
      </c>
      <c r="B36">
        <v>73382220399</v>
      </c>
      <c r="H36" t="s">
        <v>707</v>
      </c>
      <c r="I36" t="s">
        <v>707</v>
      </c>
      <c r="J36" t="s">
        <v>707</v>
      </c>
      <c r="K36" t="s">
        <v>707</v>
      </c>
      <c r="L36">
        <v>66</v>
      </c>
      <c r="M36">
        <v>135.5</v>
      </c>
    </row>
    <row r="37" spans="1:13" x14ac:dyDescent="0.25">
      <c r="A37" t="s">
        <v>1330</v>
      </c>
      <c r="B37">
        <v>73459958235</v>
      </c>
      <c r="H37" t="s">
        <v>707</v>
      </c>
      <c r="I37" t="s">
        <v>707</v>
      </c>
      <c r="L37">
        <v>83</v>
      </c>
      <c r="M37">
        <v>159.75</v>
      </c>
    </row>
    <row r="38" spans="1:13" x14ac:dyDescent="0.25">
      <c r="A38" t="s">
        <v>1336</v>
      </c>
      <c r="B38">
        <v>73407943496</v>
      </c>
      <c r="H38" t="s">
        <v>707</v>
      </c>
      <c r="I38" t="s">
        <v>707</v>
      </c>
      <c r="J38" t="s">
        <v>707</v>
      </c>
      <c r="K38" t="s">
        <v>707</v>
      </c>
      <c r="L38">
        <v>65</v>
      </c>
      <c r="M38">
        <v>135.34</v>
      </c>
    </row>
    <row r="39" spans="1:13" x14ac:dyDescent="0.25">
      <c r="A39" t="s">
        <v>1341</v>
      </c>
      <c r="B39">
        <v>73402609673</v>
      </c>
      <c r="H39" t="s">
        <v>707</v>
      </c>
      <c r="I39" t="s">
        <v>707</v>
      </c>
      <c r="J39" t="s">
        <v>707</v>
      </c>
      <c r="K39" t="s">
        <v>707</v>
      </c>
      <c r="L39">
        <v>82</v>
      </c>
      <c r="M39">
        <v>127.5</v>
      </c>
    </row>
    <row r="40" spans="1:13" x14ac:dyDescent="0.25">
      <c r="A40" t="s">
        <v>1346</v>
      </c>
      <c r="B40">
        <v>73462455579</v>
      </c>
      <c r="H40" t="s">
        <v>707</v>
      </c>
      <c r="I40" t="s">
        <v>707</v>
      </c>
      <c r="J40" t="s">
        <v>707</v>
      </c>
      <c r="K40" t="s">
        <v>707</v>
      </c>
      <c r="L40">
        <v>68</v>
      </c>
      <c r="M40">
        <v>148.72999999999999</v>
      </c>
    </row>
    <row r="41" spans="1:13" x14ac:dyDescent="0.25">
      <c r="A41" t="s">
        <v>1352</v>
      </c>
      <c r="B41">
        <v>73409512218</v>
      </c>
      <c r="H41" t="s">
        <v>707</v>
      </c>
      <c r="I41" t="s">
        <v>707</v>
      </c>
      <c r="L41">
        <v>72</v>
      </c>
      <c r="M41">
        <v>137.18</v>
      </c>
    </row>
    <row r="42" spans="1:13" x14ac:dyDescent="0.25">
      <c r="A42" t="s">
        <v>1357</v>
      </c>
      <c r="B42">
        <v>73441886691</v>
      </c>
      <c r="H42" t="s">
        <v>707</v>
      </c>
      <c r="I42" t="s">
        <v>707</v>
      </c>
      <c r="L42">
        <v>80</v>
      </c>
      <c r="M42">
        <v>166</v>
      </c>
    </row>
    <row r="43" spans="1:13" x14ac:dyDescent="0.25">
      <c r="A43" t="s">
        <v>1362</v>
      </c>
      <c r="B43">
        <v>73401049528</v>
      </c>
      <c r="H43" t="s">
        <v>707</v>
      </c>
      <c r="J43" t="s">
        <v>707</v>
      </c>
      <c r="L43">
        <v>82</v>
      </c>
      <c r="M43">
        <v>174.5</v>
      </c>
    </row>
    <row r="44" spans="1:13" x14ac:dyDescent="0.25">
      <c r="A44" t="s">
        <v>1366</v>
      </c>
      <c r="B44">
        <v>73346363733</v>
      </c>
      <c r="H44" t="s">
        <v>707</v>
      </c>
      <c r="I44" t="s">
        <v>707</v>
      </c>
      <c r="J44" t="s">
        <v>707</v>
      </c>
      <c r="K44" t="s">
        <v>707</v>
      </c>
      <c r="L44">
        <v>91</v>
      </c>
      <c r="M44">
        <v>162.75</v>
      </c>
    </row>
    <row r="45" spans="1:13" x14ac:dyDescent="0.25">
      <c r="A45" t="s">
        <v>1371</v>
      </c>
      <c r="B45">
        <v>73398409929</v>
      </c>
      <c r="H45" t="s">
        <v>707</v>
      </c>
      <c r="I45" t="s">
        <v>707</v>
      </c>
      <c r="J45" t="s">
        <v>707</v>
      </c>
      <c r="K45" t="s">
        <v>707</v>
      </c>
      <c r="L45">
        <v>71</v>
      </c>
      <c r="M45">
        <v>153.75</v>
      </c>
    </row>
    <row r="46" spans="1:13" x14ac:dyDescent="0.25">
      <c r="A46" t="s">
        <v>1377</v>
      </c>
      <c r="B46">
        <v>73393879029</v>
      </c>
      <c r="I46" t="s">
        <v>707</v>
      </c>
      <c r="J46" t="s">
        <v>707</v>
      </c>
      <c r="K46" t="s">
        <v>707</v>
      </c>
      <c r="L46">
        <v>75</v>
      </c>
      <c r="M46">
        <v>161.84</v>
      </c>
    </row>
    <row r="47" spans="1:13" x14ac:dyDescent="0.25">
      <c r="A47" t="s">
        <v>1381</v>
      </c>
      <c r="B47">
        <v>73390908771</v>
      </c>
      <c r="H47" t="s">
        <v>707</v>
      </c>
      <c r="I47" t="s">
        <v>707</v>
      </c>
      <c r="J47" t="s">
        <v>707</v>
      </c>
      <c r="L47">
        <v>87</v>
      </c>
      <c r="M47">
        <v>168.75</v>
      </c>
    </row>
    <row r="48" spans="1:13" x14ac:dyDescent="0.25">
      <c r="A48" t="s">
        <v>1385</v>
      </c>
      <c r="B48">
        <v>73440702539</v>
      </c>
      <c r="H48" t="s">
        <v>707</v>
      </c>
      <c r="I48" t="s">
        <v>707</v>
      </c>
      <c r="J48" t="s">
        <v>707</v>
      </c>
      <c r="K48" t="s">
        <v>707</v>
      </c>
      <c r="L48">
        <v>87</v>
      </c>
      <c r="M48">
        <v>165.75</v>
      </c>
    </row>
    <row r="49" spans="1:13" x14ac:dyDescent="0.25">
      <c r="A49" t="s">
        <v>1391</v>
      </c>
      <c r="B49">
        <v>73423708584</v>
      </c>
      <c r="H49" t="s">
        <v>707</v>
      </c>
      <c r="I49" t="s">
        <v>707</v>
      </c>
      <c r="J49" t="s">
        <v>707</v>
      </c>
      <c r="K49" t="s">
        <v>707</v>
      </c>
      <c r="L49">
        <v>66</v>
      </c>
      <c r="M49">
        <v>137.04</v>
      </c>
    </row>
    <row r="50" spans="1:13" x14ac:dyDescent="0.25">
      <c r="A50" t="s">
        <v>1396</v>
      </c>
      <c r="B50">
        <v>73459569658</v>
      </c>
      <c r="H50" t="s">
        <v>707</v>
      </c>
      <c r="I50" t="s">
        <v>707</v>
      </c>
      <c r="K50" t="s">
        <v>707</v>
      </c>
      <c r="L50">
        <v>54</v>
      </c>
      <c r="M50">
        <v>121.05</v>
      </c>
    </row>
    <row r="51" spans="1:13" x14ac:dyDescent="0.25">
      <c r="A51" t="s">
        <v>1402</v>
      </c>
      <c r="B51">
        <v>73468587557</v>
      </c>
      <c r="H51" t="s">
        <v>707</v>
      </c>
      <c r="L51">
        <v>72</v>
      </c>
      <c r="M51">
        <v>115</v>
      </c>
    </row>
    <row r="52" spans="1:13" x14ac:dyDescent="0.25">
      <c r="A52" t="s">
        <v>1408</v>
      </c>
      <c r="B52">
        <v>73469475134</v>
      </c>
      <c r="H52" t="s">
        <v>707</v>
      </c>
      <c r="I52" t="s">
        <v>707</v>
      </c>
      <c r="J52" t="s">
        <v>707</v>
      </c>
      <c r="K52" t="s">
        <v>707</v>
      </c>
      <c r="L52">
        <v>66</v>
      </c>
      <c r="M52">
        <v>155.5</v>
      </c>
    </row>
    <row r="53" spans="1:13" x14ac:dyDescent="0.25">
      <c r="A53" t="s">
        <v>1412</v>
      </c>
      <c r="B53">
        <v>73399980971</v>
      </c>
      <c r="H53" t="s">
        <v>707</v>
      </c>
      <c r="I53" t="s">
        <v>707</v>
      </c>
      <c r="K53" t="s">
        <v>707</v>
      </c>
      <c r="L53">
        <v>64</v>
      </c>
      <c r="M53">
        <v>138</v>
      </c>
    </row>
    <row r="54" spans="1:13" x14ac:dyDescent="0.25">
      <c r="A54" t="s">
        <v>1417</v>
      </c>
      <c r="B54">
        <v>73447213994</v>
      </c>
      <c r="H54" t="s">
        <v>707</v>
      </c>
      <c r="I54" t="s">
        <v>707</v>
      </c>
      <c r="L54">
        <v>78</v>
      </c>
      <c r="M54">
        <v>158.5</v>
      </c>
    </row>
    <row r="55" spans="1:13" x14ac:dyDescent="0.25">
      <c r="A55" t="s">
        <v>1422</v>
      </c>
      <c r="B55">
        <v>73372004612</v>
      </c>
      <c r="H55" t="s">
        <v>707</v>
      </c>
      <c r="I55" t="s">
        <v>707</v>
      </c>
      <c r="J55" t="s">
        <v>707</v>
      </c>
      <c r="K55" t="s">
        <v>707</v>
      </c>
      <c r="L55">
        <v>82</v>
      </c>
      <c r="M55">
        <v>172.5</v>
      </c>
    </row>
    <row r="56" spans="1:13" x14ac:dyDescent="0.25">
      <c r="A56" t="s">
        <v>1427</v>
      </c>
      <c r="B56">
        <v>73354025937</v>
      </c>
      <c r="H56" t="s">
        <v>707</v>
      </c>
      <c r="I56" t="s">
        <v>707</v>
      </c>
      <c r="J56" t="s">
        <v>707</v>
      </c>
      <c r="L56">
        <v>85</v>
      </c>
      <c r="M56">
        <v>175.25</v>
      </c>
    </row>
    <row r="57" spans="1:13" x14ac:dyDescent="0.25">
      <c r="A57" t="s">
        <v>1431</v>
      </c>
      <c r="B57">
        <v>73412529905</v>
      </c>
      <c r="H57" t="s">
        <v>707</v>
      </c>
      <c r="I57" t="s">
        <v>707</v>
      </c>
      <c r="J57" t="s">
        <v>707</v>
      </c>
      <c r="K57" t="s">
        <v>707</v>
      </c>
      <c r="L57">
        <v>79</v>
      </c>
      <c r="M57">
        <v>149.75</v>
      </c>
    </row>
    <row r="58" spans="1:13" x14ac:dyDescent="0.25">
      <c r="A58" t="s">
        <v>1435</v>
      </c>
      <c r="B58">
        <v>73368509075</v>
      </c>
      <c r="H58" t="s">
        <v>707</v>
      </c>
      <c r="I58" t="s">
        <v>707</v>
      </c>
      <c r="L58">
        <v>76</v>
      </c>
      <c r="M58">
        <v>155</v>
      </c>
    </row>
    <row r="59" spans="1:13" x14ac:dyDescent="0.25">
      <c r="A59" t="s">
        <v>1439</v>
      </c>
      <c r="B59">
        <v>73368535781</v>
      </c>
      <c r="H59" t="s">
        <v>707</v>
      </c>
      <c r="I59" t="s">
        <v>707</v>
      </c>
      <c r="L59">
        <v>78</v>
      </c>
      <c r="M59">
        <v>132.5</v>
      </c>
    </row>
    <row r="60" spans="1:13" x14ac:dyDescent="0.25">
      <c r="A60" t="s">
        <v>1440</v>
      </c>
      <c r="B60">
        <v>73385741569</v>
      </c>
      <c r="H60" t="s">
        <v>707</v>
      </c>
      <c r="I60" t="s">
        <v>707</v>
      </c>
      <c r="K60" t="s">
        <v>707</v>
      </c>
      <c r="L60">
        <v>71</v>
      </c>
      <c r="M60">
        <v>141.29</v>
      </c>
    </row>
    <row r="61" spans="1:13" x14ac:dyDescent="0.25">
      <c r="A61" t="s">
        <v>1444</v>
      </c>
      <c r="B61">
        <v>73403949802</v>
      </c>
      <c r="H61" t="s">
        <v>707</v>
      </c>
      <c r="I61" t="s">
        <v>707</v>
      </c>
      <c r="J61" t="s">
        <v>707</v>
      </c>
      <c r="K61" t="s">
        <v>707</v>
      </c>
      <c r="L61">
        <v>57</v>
      </c>
      <c r="M61">
        <v>106.75</v>
      </c>
    </row>
    <row r="62" spans="1:13" x14ac:dyDescent="0.25">
      <c r="A62" t="s">
        <v>1450</v>
      </c>
      <c r="B62">
        <v>73461421048</v>
      </c>
      <c r="H62" t="s">
        <v>707</v>
      </c>
      <c r="I62" t="s">
        <v>707</v>
      </c>
      <c r="J62" t="s">
        <v>707</v>
      </c>
      <c r="K62" t="s">
        <v>707</v>
      </c>
      <c r="L62">
        <v>92</v>
      </c>
      <c r="M62">
        <v>182</v>
      </c>
    </row>
    <row r="63" spans="1:13" x14ac:dyDescent="0.25">
      <c r="A63" t="s">
        <v>1453</v>
      </c>
      <c r="B63">
        <v>73464787700</v>
      </c>
      <c r="J63" t="s">
        <v>707</v>
      </c>
      <c r="K63" t="s">
        <v>707</v>
      </c>
      <c r="L63">
        <v>56</v>
      </c>
      <c r="M63">
        <v>110</v>
      </c>
    </row>
    <row r="64" spans="1:13" x14ac:dyDescent="0.25">
      <c r="A64" t="s">
        <v>1459</v>
      </c>
      <c r="B64">
        <v>73447183966</v>
      </c>
      <c r="H64" t="s">
        <v>707</v>
      </c>
      <c r="I64" t="s">
        <v>707</v>
      </c>
      <c r="J64" t="s">
        <v>707</v>
      </c>
      <c r="K64" t="s">
        <v>707</v>
      </c>
      <c r="L64">
        <v>85</v>
      </c>
      <c r="M64">
        <v>175.25</v>
      </c>
    </row>
    <row r="65" spans="1:13" x14ac:dyDescent="0.25">
      <c r="A65" t="s">
        <v>1468</v>
      </c>
      <c r="B65">
        <v>73433360067</v>
      </c>
      <c r="H65" t="s">
        <v>707</v>
      </c>
      <c r="I65" t="s">
        <v>707</v>
      </c>
      <c r="J65" t="s">
        <v>707</v>
      </c>
      <c r="L65">
        <v>70</v>
      </c>
      <c r="M65">
        <v>155.5</v>
      </c>
    </row>
    <row r="66" spans="1:13" x14ac:dyDescent="0.25">
      <c r="A66" t="s">
        <v>1473</v>
      </c>
      <c r="B66">
        <v>73373569996</v>
      </c>
      <c r="H66" t="s">
        <v>707</v>
      </c>
      <c r="I66" t="s">
        <v>707</v>
      </c>
      <c r="J66" t="s">
        <v>707</v>
      </c>
      <c r="K66" t="s">
        <v>707</v>
      </c>
      <c r="L66">
        <v>82</v>
      </c>
      <c r="M66">
        <v>172.5</v>
      </c>
    </row>
    <row r="67" spans="1:13" x14ac:dyDescent="0.25">
      <c r="A67" t="s">
        <v>1478</v>
      </c>
      <c r="B67">
        <v>73424035434</v>
      </c>
      <c r="H67" t="s">
        <v>707</v>
      </c>
      <c r="I67" t="s">
        <v>707</v>
      </c>
      <c r="J67" t="s">
        <v>707</v>
      </c>
      <c r="K67" t="s">
        <v>707</v>
      </c>
      <c r="L67">
        <v>83</v>
      </c>
      <c r="M67">
        <v>163.75</v>
      </c>
    </row>
    <row r="68" spans="1:13" x14ac:dyDescent="0.25">
      <c r="A68" t="s">
        <v>1483</v>
      </c>
      <c r="B68">
        <v>73447694831</v>
      </c>
      <c r="H68" t="s">
        <v>707</v>
      </c>
      <c r="I68" t="s">
        <v>707</v>
      </c>
      <c r="J68" t="s">
        <v>707</v>
      </c>
      <c r="K68" t="s">
        <v>707</v>
      </c>
      <c r="L68">
        <v>57</v>
      </c>
      <c r="M68">
        <v>141.25</v>
      </c>
    </row>
    <row r="69" spans="1:13" x14ac:dyDescent="0.25">
      <c r="A69" t="s">
        <v>1488</v>
      </c>
      <c r="B69">
        <v>73443399163</v>
      </c>
      <c r="J69" t="s">
        <v>707</v>
      </c>
      <c r="L69">
        <v>72</v>
      </c>
      <c r="M69">
        <v>147</v>
      </c>
    </row>
    <row r="70" spans="1:13" x14ac:dyDescent="0.25">
      <c r="A70" t="s">
        <v>1493</v>
      </c>
      <c r="B70">
        <v>73376316180</v>
      </c>
      <c r="H70" t="s">
        <v>707</v>
      </c>
      <c r="I70" t="s">
        <v>707</v>
      </c>
      <c r="J70" t="s">
        <v>707</v>
      </c>
      <c r="K70" t="s">
        <v>707</v>
      </c>
      <c r="L70">
        <v>61</v>
      </c>
      <c r="M70">
        <v>118.25</v>
      </c>
    </row>
    <row r="71" spans="1:13" x14ac:dyDescent="0.25">
      <c r="A71" t="s">
        <v>1497</v>
      </c>
      <c r="B71">
        <v>73419768586</v>
      </c>
      <c r="H71" t="s">
        <v>707</v>
      </c>
      <c r="I71" t="s">
        <v>707</v>
      </c>
      <c r="J71" t="s">
        <v>707</v>
      </c>
      <c r="K71" t="s">
        <v>707</v>
      </c>
      <c r="L71">
        <v>91</v>
      </c>
      <c r="M71">
        <v>181.75</v>
      </c>
    </row>
    <row r="72" spans="1:13" x14ac:dyDescent="0.25">
      <c r="A72" t="s">
        <v>1501</v>
      </c>
      <c r="B72">
        <v>73389202329</v>
      </c>
      <c r="H72" t="s">
        <v>707</v>
      </c>
      <c r="I72" t="s">
        <v>707</v>
      </c>
      <c r="L72">
        <v>89</v>
      </c>
      <c r="M72">
        <v>136.25</v>
      </c>
    </row>
    <row r="73" spans="1:13" x14ac:dyDescent="0.25">
      <c r="A73" t="s">
        <v>1504</v>
      </c>
      <c r="B73">
        <v>73461196991</v>
      </c>
      <c r="H73" t="s">
        <v>707</v>
      </c>
      <c r="L73">
        <v>83</v>
      </c>
      <c r="M73">
        <v>166.75</v>
      </c>
    </row>
    <row r="74" spans="1:13" x14ac:dyDescent="0.25">
      <c r="A74" t="s">
        <v>1509</v>
      </c>
      <c r="B74">
        <v>73388477952</v>
      </c>
      <c r="H74" t="s">
        <v>707</v>
      </c>
      <c r="I74" t="s">
        <v>707</v>
      </c>
      <c r="K74" t="s">
        <v>707</v>
      </c>
      <c r="L74">
        <v>66</v>
      </c>
      <c r="M74">
        <v>118.05</v>
      </c>
    </row>
    <row r="75" spans="1:13" x14ac:dyDescent="0.25">
      <c r="A75" t="s">
        <v>1514</v>
      </c>
      <c r="B75">
        <v>73404935220</v>
      </c>
      <c r="J75" t="s">
        <v>707</v>
      </c>
      <c r="L75">
        <v>63</v>
      </c>
      <c r="M75">
        <v>146.02000000000001</v>
      </c>
    </row>
    <row r="76" spans="1:13" x14ac:dyDescent="0.25">
      <c r="A76" t="s">
        <v>1519</v>
      </c>
      <c r="B76">
        <v>73440326691</v>
      </c>
      <c r="H76" t="s">
        <v>707</v>
      </c>
      <c r="I76" t="s">
        <v>707</v>
      </c>
      <c r="J76" t="s">
        <v>707</v>
      </c>
      <c r="K76" t="s">
        <v>707</v>
      </c>
      <c r="L76">
        <v>47</v>
      </c>
      <c r="M76">
        <v>81.48</v>
      </c>
    </row>
    <row r="77" spans="1:13" x14ac:dyDescent="0.25">
      <c r="A77" t="s">
        <v>1523</v>
      </c>
      <c r="B77">
        <v>73467594637</v>
      </c>
      <c r="H77" t="s">
        <v>707</v>
      </c>
      <c r="I77" t="s">
        <v>707</v>
      </c>
      <c r="J77" t="s">
        <v>707</v>
      </c>
      <c r="K77" t="s">
        <v>707</v>
      </c>
      <c r="L77">
        <v>85</v>
      </c>
      <c r="M77">
        <v>175.25</v>
      </c>
    </row>
    <row r="78" spans="1:13" x14ac:dyDescent="0.25">
      <c r="A78" t="s">
        <v>1527</v>
      </c>
      <c r="B78">
        <v>73519460510</v>
      </c>
      <c r="H78" t="s">
        <v>707</v>
      </c>
      <c r="I78" t="s">
        <v>707</v>
      </c>
      <c r="J78" t="s">
        <v>707</v>
      </c>
      <c r="K78" t="s">
        <v>707</v>
      </c>
      <c r="L78">
        <v>77</v>
      </c>
      <c r="M78">
        <v>145.75</v>
      </c>
    </row>
    <row r="79" spans="1:13" x14ac:dyDescent="0.25">
      <c r="A79" t="s">
        <v>1532</v>
      </c>
      <c r="B79">
        <v>73448383504</v>
      </c>
      <c r="H79" t="s">
        <v>707</v>
      </c>
      <c r="I79" t="s">
        <v>707</v>
      </c>
      <c r="J79" t="s">
        <v>707</v>
      </c>
      <c r="K79" t="s">
        <v>707</v>
      </c>
      <c r="L79">
        <v>72</v>
      </c>
      <c r="M79">
        <v>150</v>
      </c>
    </row>
    <row r="80" spans="1:13" x14ac:dyDescent="0.25">
      <c r="A80" t="s">
        <v>1536</v>
      </c>
      <c r="B80">
        <v>73409789617</v>
      </c>
      <c r="H80" t="s">
        <v>707</v>
      </c>
      <c r="I80" t="s">
        <v>707</v>
      </c>
      <c r="L80">
        <v>65</v>
      </c>
      <c r="M80">
        <v>123.25</v>
      </c>
    </row>
    <row r="81" spans="1:13" x14ac:dyDescent="0.25">
      <c r="A81" t="s">
        <v>1540</v>
      </c>
      <c r="B81">
        <v>73473220258</v>
      </c>
      <c r="H81" t="s">
        <v>707</v>
      </c>
      <c r="I81" t="s">
        <v>707</v>
      </c>
      <c r="J81" t="s">
        <v>707</v>
      </c>
      <c r="K81" t="s">
        <v>707</v>
      </c>
      <c r="L81">
        <v>77</v>
      </c>
      <c r="M81">
        <v>157.79</v>
      </c>
    </row>
    <row r="82" spans="1:13" x14ac:dyDescent="0.25">
      <c r="A82" t="s">
        <v>1544</v>
      </c>
      <c r="B82">
        <v>73366921134</v>
      </c>
      <c r="H82" t="s">
        <v>707</v>
      </c>
      <c r="I82" t="s">
        <v>707</v>
      </c>
      <c r="J82" t="s">
        <v>707</v>
      </c>
      <c r="K82" t="s">
        <v>707</v>
      </c>
      <c r="L82">
        <v>67</v>
      </c>
      <c r="M82">
        <v>140.30000000000001</v>
      </c>
    </row>
    <row r="83" spans="1:13" x14ac:dyDescent="0.25">
      <c r="A83" t="s">
        <v>1548</v>
      </c>
      <c r="B83">
        <v>73366957487</v>
      </c>
      <c r="H83" t="s">
        <v>707</v>
      </c>
      <c r="I83" t="s">
        <v>707</v>
      </c>
      <c r="J83" t="s">
        <v>707</v>
      </c>
      <c r="K83" t="s">
        <v>707</v>
      </c>
      <c r="L83">
        <v>54</v>
      </c>
      <c r="M83">
        <v>135.5</v>
      </c>
    </row>
    <row r="84" spans="1:13" x14ac:dyDescent="0.25">
      <c r="A84" t="s">
        <v>1550</v>
      </c>
      <c r="B84">
        <v>73382858450</v>
      </c>
      <c r="H84" t="s">
        <v>707</v>
      </c>
      <c r="I84" t="s">
        <v>707</v>
      </c>
      <c r="J84" t="s">
        <v>707</v>
      </c>
      <c r="K84" t="s">
        <v>707</v>
      </c>
      <c r="L84">
        <v>80</v>
      </c>
      <c r="M84">
        <v>153</v>
      </c>
    </row>
    <row r="85" spans="1:13" x14ac:dyDescent="0.25">
      <c r="A85" t="s">
        <v>1554</v>
      </c>
      <c r="B85">
        <v>73466292678</v>
      </c>
      <c r="H85" t="s">
        <v>707</v>
      </c>
      <c r="I85" t="s">
        <v>707</v>
      </c>
      <c r="J85" t="s">
        <v>707</v>
      </c>
      <c r="K85" t="s">
        <v>707</v>
      </c>
      <c r="L85">
        <v>79</v>
      </c>
      <c r="M85">
        <v>170.84</v>
      </c>
    </row>
    <row r="86" spans="1:13" x14ac:dyDescent="0.25">
      <c r="A86" t="s">
        <v>1560</v>
      </c>
      <c r="B86">
        <v>73400971532</v>
      </c>
      <c r="H86" t="s">
        <v>707</v>
      </c>
      <c r="I86" t="s">
        <v>707</v>
      </c>
      <c r="L86">
        <v>69</v>
      </c>
      <c r="M86">
        <v>139.80000000000001</v>
      </c>
    </row>
    <row r="87" spans="1:13" x14ac:dyDescent="0.25">
      <c r="A87" t="s">
        <v>1564</v>
      </c>
      <c r="B87">
        <v>73392983265</v>
      </c>
      <c r="H87" t="s">
        <v>707</v>
      </c>
      <c r="L87">
        <v>0</v>
      </c>
      <c r="M87">
        <v>25</v>
      </c>
    </row>
    <row r="88" spans="1:13" x14ac:dyDescent="0.25">
      <c r="A88" t="s">
        <v>1569</v>
      </c>
      <c r="B88">
        <v>73451589251</v>
      </c>
      <c r="H88" t="s">
        <v>707</v>
      </c>
      <c r="I88" t="s">
        <v>707</v>
      </c>
      <c r="L88">
        <v>74</v>
      </c>
      <c r="M88">
        <v>157.5</v>
      </c>
    </row>
    <row r="89" spans="1:13" x14ac:dyDescent="0.25">
      <c r="A89" t="s">
        <v>1574</v>
      </c>
      <c r="B89">
        <v>73398637764</v>
      </c>
      <c r="H89" t="s">
        <v>707</v>
      </c>
      <c r="J89" t="s">
        <v>707</v>
      </c>
      <c r="L89">
        <v>70</v>
      </c>
      <c r="M89">
        <v>157.5</v>
      </c>
    </row>
    <row r="90" spans="1:13" x14ac:dyDescent="0.25">
      <c r="A90" t="s">
        <v>1579</v>
      </c>
      <c r="B90">
        <v>73435697572</v>
      </c>
      <c r="H90" t="s">
        <v>707</v>
      </c>
      <c r="I90" t="s">
        <v>707</v>
      </c>
      <c r="J90" t="s">
        <v>707</v>
      </c>
      <c r="K90" t="s">
        <v>707</v>
      </c>
      <c r="L90">
        <v>86</v>
      </c>
      <c r="M90">
        <v>180.5</v>
      </c>
    </row>
    <row r="91" spans="1:13" x14ac:dyDescent="0.25">
      <c r="A91" t="s">
        <v>1585</v>
      </c>
      <c r="B91">
        <v>73446328414</v>
      </c>
      <c r="H91" t="s">
        <v>707</v>
      </c>
      <c r="L91">
        <v>80</v>
      </c>
      <c r="M91">
        <v>163</v>
      </c>
    </row>
    <row r="92" spans="1:13" x14ac:dyDescent="0.25">
      <c r="A92" t="s">
        <v>1590</v>
      </c>
      <c r="B92">
        <v>73434537458</v>
      </c>
      <c r="H92" t="s">
        <v>707</v>
      </c>
      <c r="I92" t="s">
        <v>707</v>
      </c>
      <c r="J92" t="s">
        <v>707</v>
      </c>
      <c r="K92" t="s">
        <v>707</v>
      </c>
      <c r="L92">
        <v>72</v>
      </c>
      <c r="M92">
        <v>148</v>
      </c>
    </row>
    <row r="93" spans="1:13" x14ac:dyDescent="0.25">
      <c r="A93" t="s">
        <v>1595</v>
      </c>
      <c r="B93">
        <v>73451940412</v>
      </c>
      <c r="H93" t="s">
        <v>707</v>
      </c>
      <c r="I93" t="s">
        <v>707</v>
      </c>
      <c r="J93" t="s">
        <v>707</v>
      </c>
      <c r="L93">
        <v>75</v>
      </c>
      <c r="M93">
        <v>164.75</v>
      </c>
    </row>
    <row r="94" spans="1:13" x14ac:dyDescent="0.25">
      <c r="A94" t="s">
        <v>1600</v>
      </c>
      <c r="B94">
        <v>73467865640</v>
      </c>
      <c r="H94" t="s">
        <v>707</v>
      </c>
      <c r="I94" t="s">
        <v>707</v>
      </c>
      <c r="J94" t="s">
        <v>707</v>
      </c>
      <c r="K94" t="s">
        <v>707</v>
      </c>
      <c r="L94">
        <v>52</v>
      </c>
      <c r="M94">
        <v>117</v>
      </c>
    </row>
    <row r="95" spans="1:13" x14ac:dyDescent="0.25">
      <c r="A95" t="s">
        <v>1605</v>
      </c>
      <c r="B95">
        <v>73368979008</v>
      </c>
      <c r="H95" t="s">
        <v>707</v>
      </c>
      <c r="I95" t="s">
        <v>707</v>
      </c>
      <c r="J95" t="s">
        <v>707</v>
      </c>
      <c r="L95">
        <v>71</v>
      </c>
      <c r="M95">
        <v>150.30000000000001</v>
      </c>
    </row>
    <row r="96" spans="1:13" x14ac:dyDescent="0.25">
      <c r="A96" t="s">
        <v>1610</v>
      </c>
      <c r="B96">
        <v>73467291782</v>
      </c>
      <c r="J96" t="s">
        <v>707</v>
      </c>
      <c r="L96">
        <v>88</v>
      </c>
      <c r="M96">
        <v>173</v>
      </c>
    </row>
    <row r="97" spans="1:13" x14ac:dyDescent="0.25">
      <c r="A97" t="s">
        <v>1616</v>
      </c>
      <c r="B97">
        <v>73374347526</v>
      </c>
      <c r="H97" t="s">
        <v>707</v>
      </c>
      <c r="I97" t="s">
        <v>707</v>
      </c>
      <c r="L97">
        <v>86</v>
      </c>
      <c r="M97">
        <v>175.5</v>
      </c>
    </row>
    <row r="98" spans="1:13" x14ac:dyDescent="0.25">
      <c r="A98" t="s">
        <v>1621</v>
      </c>
      <c r="B98">
        <v>73403606863</v>
      </c>
      <c r="H98" t="s">
        <v>707</v>
      </c>
      <c r="I98" t="s">
        <v>707</v>
      </c>
      <c r="J98" t="s">
        <v>707</v>
      </c>
      <c r="K98" t="s">
        <v>707</v>
      </c>
      <c r="L98">
        <v>75</v>
      </c>
      <c r="M98">
        <v>155.75</v>
      </c>
    </row>
    <row r="99" spans="1:13" x14ac:dyDescent="0.25">
      <c r="A99" t="s">
        <v>1626</v>
      </c>
      <c r="B99">
        <v>73367177186</v>
      </c>
      <c r="H99" t="s">
        <v>707</v>
      </c>
      <c r="I99" t="s">
        <v>707</v>
      </c>
      <c r="J99" t="s">
        <v>707</v>
      </c>
      <c r="K99" t="s">
        <v>707</v>
      </c>
      <c r="L99">
        <v>69</v>
      </c>
      <c r="M99">
        <v>159.25</v>
      </c>
    </row>
    <row r="100" spans="1:13" x14ac:dyDescent="0.25">
      <c r="A100" t="s">
        <v>1630</v>
      </c>
      <c r="B100">
        <v>73466066265</v>
      </c>
      <c r="H100" t="s">
        <v>707</v>
      </c>
      <c r="I100" t="s">
        <v>707</v>
      </c>
      <c r="J100" t="s">
        <v>707</v>
      </c>
      <c r="K100" t="s">
        <v>707</v>
      </c>
      <c r="L100">
        <v>90</v>
      </c>
      <c r="M100">
        <v>137.5</v>
      </c>
    </row>
    <row r="101" spans="1:13" x14ac:dyDescent="0.25">
      <c r="A101" t="s">
        <v>1635</v>
      </c>
      <c r="B101">
        <v>73439197152</v>
      </c>
      <c r="H101" t="s">
        <v>707</v>
      </c>
      <c r="I101" t="s">
        <v>707</v>
      </c>
      <c r="J101" t="s">
        <v>707</v>
      </c>
      <c r="K101" t="s">
        <v>707</v>
      </c>
      <c r="L101">
        <v>67</v>
      </c>
      <c r="M101">
        <v>134.75</v>
      </c>
    </row>
    <row r="102" spans="1:13" x14ac:dyDescent="0.25">
      <c r="A102" t="s">
        <v>1640</v>
      </c>
      <c r="B102">
        <v>73448883501</v>
      </c>
      <c r="H102" t="s">
        <v>707</v>
      </c>
      <c r="I102" t="s">
        <v>707</v>
      </c>
      <c r="L102">
        <v>85</v>
      </c>
      <c r="M102">
        <v>181.25</v>
      </c>
    </row>
    <row r="103" spans="1:13" x14ac:dyDescent="0.25">
      <c r="A103" t="s">
        <v>1644</v>
      </c>
      <c r="B103">
        <v>73379688303</v>
      </c>
      <c r="H103" t="s">
        <v>707</v>
      </c>
      <c r="I103" t="s">
        <v>707</v>
      </c>
      <c r="J103" t="s">
        <v>707</v>
      </c>
      <c r="K103" t="s">
        <v>707</v>
      </c>
      <c r="L103">
        <v>83</v>
      </c>
      <c r="M103">
        <v>173.75</v>
      </c>
    </row>
    <row r="104" spans="1:13" x14ac:dyDescent="0.25">
      <c r="A104" t="s">
        <v>1648</v>
      </c>
      <c r="B104">
        <v>73397945801</v>
      </c>
      <c r="H104" t="s">
        <v>707</v>
      </c>
      <c r="I104" t="s">
        <v>707</v>
      </c>
      <c r="J104" t="s">
        <v>707</v>
      </c>
      <c r="K104" t="s">
        <v>707</v>
      </c>
      <c r="L104">
        <v>74</v>
      </c>
      <c r="M104">
        <v>166.5</v>
      </c>
    </row>
    <row r="105" spans="1:13" x14ac:dyDescent="0.25">
      <c r="A105" t="s">
        <v>1653</v>
      </c>
      <c r="B105">
        <v>73480762264</v>
      </c>
      <c r="H105" t="s">
        <v>707</v>
      </c>
      <c r="I105" t="s">
        <v>707</v>
      </c>
      <c r="J105" t="s">
        <v>707</v>
      </c>
      <c r="K105" t="s">
        <v>707</v>
      </c>
      <c r="L105">
        <v>61</v>
      </c>
      <c r="M105">
        <v>143.25</v>
      </c>
    </row>
    <row r="106" spans="1:13" x14ac:dyDescent="0.25">
      <c r="A106" t="s">
        <v>1657</v>
      </c>
      <c r="B106">
        <v>73371958805</v>
      </c>
      <c r="J106" t="s">
        <v>707</v>
      </c>
      <c r="L106">
        <v>76</v>
      </c>
      <c r="M106">
        <v>167</v>
      </c>
    </row>
    <row r="107" spans="1:13" x14ac:dyDescent="0.25">
      <c r="A107" t="s">
        <v>1661</v>
      </c>
      <c r="B107">
        <v>73477836437</v>
      </c>
      <c r="H107" t="s">
        <v>707</v>
      </c>
      <c r="I107" t="s">
        <v>707</v>
      </c>
      <c r="K107" t="s">
        <v>707</v>
      </c>
      <c r="L107">
        <v>69</v>
      </c>
      <c r="M107">
        <v>148.75</v>
      </c>
    </row>
    <row r="108" spans="1:13" x14ac:dyDescent="0.25">
      <c r="A108" t="s">
        <v>1667</v>
      </c>
      <c r="B108">
        <v>73434537959</v>
      </c>
      <c r="H108" t="s">
        <v>707</v>
      </c>
      <c r="I108" t="s">
        <v>707</v>
      </c>
      <c r="J108" t="s">
        <v>707</v>
      </c>
      <c r="K108" t="s">
        <v>707</v>
      </c>
      <c r="L108">
        <v>70</v>
      </c>
      <c r="M108">
        <v>126.05</v>
      </c>
    </row>
    <row r="109" spans="1:13" x14ac:dyDescent="0.25">
      <c r="A109" t="s">
        <v>1672</v>
      </c>
      <c r="B109">
        <v>73454899919</v>
      </c>
      <c r="H109" t="s">
        <v>707</v>
      </c>
      <c r="I109" t="s">
        <v>707</v>
      </c>
      <c r="J109" t="s">
        <v>707</v>
      </c>
      <c r="K109" t="s">
        <v>707</v>
      </c>
      <c r="L109">
        <v>90</v>
      </c>
      <c r="M109">
        <v>187.5</v>
      </c>
    </row>
    <row r="110" spans="1:13" x14ac:dyDescent="0.25">
      <c r="A110" t="s">
        <v>1676</v>
      </c>
      <c r="B110">
        <v>73444952440</v>
      </c>
      <c r="H110" t="s">
        <v>707</v>
      </c>
      <c r="I110" t="s">
        <v>707</v>
      </c>
      <c r="K110" t="s">
        <v>707</v>
      </c>
      <c r="L110">
        <v>80</v>
      </c>
      <c r="M110">
        <v>136</v>
      </c>
    </row>
    <row r="111" spans="1:13" x14ac:dyDescent="0.25">
      <c r="A111" t="s">
        <v>1680</v>
      </c>
      <c r="B111">
        <v>73513465707</v>
      </c>
      <c r="H111" t="s">
        <v>707</v>
      </c>
      <c r="I111" t="s">
        <v>707</v>
      </c>
      <c r="J111" t="s">
        <v>707</v>
      </c>
      <c r="K111" t="s">
        <v>707</v>
      </c>
      <c r="L111">
        <v>67</v>
      </c>
      <c r="M111">
        <v>125.25</v>
      </c>
    </row>
    <row r="112" spans="1:13" x14ac:dyDescent="0.25">
      <c r="A112" t="s">
        <v>1684</v>
      </c>
      <c r="B112">
        <v>73433823697</v>
      </c>
      <c r="H112" t="s">
        <v>707</v>
      </c>
      <c r="I112" t="s">
        <v>707</v>
      </c>
      <c r="J112" t="s">
        <v>707</v>
      </c>
      <c r="K112" t="s">
        <v>707</v>
      </c>
      <c r="L112">
        <v>88</v>
      </c>
      <c r="M112">
        <v>185</v>
      </c>
    </row>
    <row r="113" spans="1:13" x14ac:dyDescent="0.25">
      <c r="A113" t="s">
        <v>1689</v>
      </c>
      <c r="B113">
        <v>73372163332</v>
      </c>
      <c r="H113" t="s">
        <v>707</v>
      </c>
      <c r="I113" t="s">
        <v>707</v>
      </c>
      <c r="J113" t="s">
        <v>707</v>
      </c>
      <c r="K113" t="s">
        <v>707</v>
      </c>
      <c r="L113">
        <v>62</v>
      </c>
      <c r="M113">
        <v>141.5</v>
      </c>
    </row>
    <row r="114" spans="1:13" x14ac:dyDescent="0.25">
      <c r="A114" t="s">
        <v>1694</v>
      </c>
      <c r="B114">
        <v>73374463454</v>
      </c>
      <c r="H114" t="s">
        <v>707</v>
      </c>
      <c r="J114" t="s">
        <v>707</v>
      </c>
      <c r="L114">
        <v>79</v>
      </c>
      <c r="M114">
        <v>167.75</v>
      </c>
    </row>
    <row r="115" spans="1:13" x14ac:dyDescent="0.25">
      <c r="A115" t="s">
        <v>1698</v>
      </c>
      <c r="B115">
        <v>73445841885</v>
      </c>
      <c r="J115" t="s">
        <v>707</v>
      </c>
      <c r="L115">
        <v>0</v>
      </c>
      <c r="M115">
        <v>25</v>
      </c>
    </row>
    <row r="116" spans="1:13" x14ac:dyDescent="0.25">
      <c r="A116" t="s">
        <v>1702</v>
      </c>
      <c r="B116">
        <v>73404064475</v>
      </c>
      <c r="H116" t="s">
        <v>707</v>
      </c>
      <c r="L116">
        <v>84</v>
      </c>
      <c r="M116">
        <v>158</v>
      </c>
    </row>
    <row r="117" spans="1:13" x14ac:dyDescent="0.25">
      <c r="A117" t="s">
        <v>1706</v>
      </c>
      <c r="B117">
        <v>73444982628</v>
      </c>
      <c r="H117" t="s">
        <v>707</v>
      </c>
      <c r="J117" t="s">
        <v>707</v>
      </c>
      <c r="L117">
        <v>88</v>
      </c>
      <c r="M117">
        <v>155</v>
      </c>
    </row>
    <row r="118" spans="1:13" x14ac:dyDescent="0.25">
      <c r="A118" t="s">
        <v>1711</v>
      </c>
      <c r="B118">
        <v>73479398119</v>
      </c>
      <c r="H118" t="s">
        <v>707</v>
      </c>
      <c r="I118" t="s">
        <v>707</v>
      </c>
      <c r="J118" t="s">
        <v>707</v>
      </c>
      <c r="K118" t="s">
        <v>707</v>
      </c>
      <c r="L118">
        <v>49</v>
      </c>
      <c r="M118">
        <v>129.25</v>
      </c>
    </row>
    <row r="119" spans="1:13" x14ac:dyDescent="0.25">
      <c r="A119" t="s">
        <v>1718</v>
      </c>
      <c r="B119">
        <v>73448027877</v>
      </c>
      <c r="H119" t="s">
        <v>707</v>
      </c>
      <c r="I119" t="s">
        <v>707</v>
      </c>
      <c r="L119">
        <v>82</v>
      </c>
      <c r="M119">
        <v>171.5</v>
      </c>
    </row>
    <row r="120" spans="1:13" x14ac:dyDescent="0.25">
      <c r="A120" t="s">
        <v>1722</v>
      </c>
      <c r="B120">
        <v>73435670363</v>
      </c>
      <c r="H120" t="s">
        <v>707</v>
      </c>
      <c r="I120" t="s">
        <v>707</v>
      </c>
      <c r="L120">
        <v>65</v>
      </c>
      <c r="M120">
        <v>119.75</v>
      </c>
    </row>
    <row r="121" spans="1:13" x14ac:dyDescent="0.25">
      <c r="A121" t="s">
        <v>1729</v>
      </c>
      <c r="B121">
        <v>73343614061</v>
      </c>
      <c r="H121" t="s">
        <v>707</v>
      </c>
      <c r="L121">
        <v>87</v>
      </c>
      <c r="M121">
        <v>159.75</v>
      </c>
    </row>
    <row r="122" spans="1:13" x14ac:dyDescent="0.25">
      <c r="A122" t="s">
        <v>1733</v>
      </c>
      <c r="B122">
        <v>73421145639</v>
      </c>
      <c r="J122" t="s">
        <v>707</v>
      </c>
      <c r="L122">
        <v>48</v>
      </c>
      <c r="M122">
        <v>83.08</v>
      </c>
    </row>
    <row r="123" spans="1:13" x14ac:dyDescent="0.25">
      <c r="A123" t="s">
        <v>1738</v>
      </c>
      <c r="B123">
        <v>73397733022</v>
      </c>
      <c r="K123" t="s">
        <v>707</v>
      </c>
      <c r="L123">
        <v>65</v>
      </c>
      <c r="M123">
        <v>125.25</v>
      </c>
    </row>
    <row r="124" spans="1:13" x14ac:dyDescent="0.25">
      <c r="A124" t="s">
        <v>1742</v>
      </c>
      <c r="B124">
        <v>73390867220</v>
      </c>
      <c r="H124" t="s">
        <v>707</v>
      </c>
      <c r="I124" t="s">
        <v>707</v>
      </c>
      <c r="J124" t="s">
        <v>707</v>
      </c>
      <c r="K124" t="s">
        <v>707</v>
      </c>
      <c r="L124">
        <v>77</v>
      </c>
      <c r="M124">
        <v>152.25</v>
      </c>
    </row>
    <row r="125" spans="1:13" x14ac:dyDescent="0.25">
      <c r="A125" t="s">
        <v>1746</v>
      </c>
      <c r="B125">
        <v>73369223976</v>
      </c>
      <c r="H125" t="s">
        <v>707</v>
      </c>
      <c r="I125" t="s">
        <v>707</v>
      </c>
      <c r="K125" t="s">
        <v>707</v>
      </c>
      <c r="L125">
        <v>62</v>
      </c>
      <c r="M125">
        <v>148.68</v>
      </c>
    </row>
    <row r="126" spans="1:13" x14ac:dyDescent="0.25">
      <c r="A126" t="s">
        <v>1750</v>
      </c>
      <c r="B126">
        <v>73474201462</v>
      </c>
      <c r="H126" t="s">
        <v>707</v>
      </c>
      <c r="I126" t="s">
        <v>707</v>
      </c>
      <c r="J126" t="s">
        <v>707</v>
      </c>
      <c r="K126" t="s">
        <v>707</v>
      </c>
      <c r="L126">
        <v>80</v>
      </c>
      <c r="M126">
        <v>168</v>
      </c>
    </row>
    <row r="127" spans="1:13" x14ac:dyDescent="0.25">
      <c r="A127" t="s">
        <v>1755</v>
      </c>
      <c r="B127">
        <v>74503209492</v>
      </c>
      <c r="H127" t="s">
        <v>707</v>
      </c>
      <c r="L127">
        <v>50</v>
      </c>
      <c r="M127">
        <v>86.59</v>
      </c>
    </row>
    <row r="128" spans="1:13" x14ac:dyDescent="0.25">
      <c r="A128" t="s">
        <v>1760</v>
      </c>
      <c r="B128">
        <v>73514820336</v>
      </c>
      <c r="I128" t="s">
        <v>707</v>
      </c>
      <c r="L128">
        <v>72</v>
      </c>
      <c r="M128">
        <v>140.55000000000001</v>
      </c>
    </row>
    <row r="129" spans="1:13" x14ac:dyDescent="0.25">
      <c r="A129" t="s">
        <v>1766</v>
      </c>
      <c r="B129">
        <v>73433974468</v>
      </c>
      <c r="K129" t="s">
        <v>707</v>
      </c>
      <c r="L129">
        <v>79</v>
      </c>
      <c r="M129">
        <v>171.75</v>
      </c>
    </row>
    <row r="130" spans="1:13" x14ac:dyDescent="0.25">
      <c r="A130" t="s">
        <v>1771</v>
      </c>
      <c r="B130">
        <v>73475494565</v>
      </c>
      <c r="H130" t="s">
        <v>707</v>
      </c>
      <c r="I130" t="s">
        <v>707</v>
      </c>
      <c r="J130" t="s">
        <v>707</v>
      </c>
      <c r="K130" t="s">
        <v>707</v>
      </c>
      <c r="L130">
        <v>69</v>
      </c>
      <c r="M130">
        <v>151.25</v>
      </c>
    </row>
    <row r="131" spans="1:13" x14ac:dyDescent="0.25">
      <c r="A131" t="s">
        <v>1776</v>
      </c>
      <c r="B131">
        <v>73364247714</v>
      </c>
      <c r="H131" t="s">
        <v>707</v>
      </c>
      <c r="I131" t="s">
        <v>707</v>
      </c>
      <c r="J131" t="s">
        <v>707</v>
      </c>
      <c r="K131" t="s">
        <v>707</v>
      </c>
      <c r="L131">
        <v>67</v>
      </c>
      <c r="M131">
        <v>134.38</v>
      </c>
    </row>
    <row r="132" spans="1:13" x14ac:dyDescent="0.25">
      <c r="A132" t="s">
        <v>1780</v>
      </c>
      <c r="B132">
        <v>73385719960</v>
      </c>
      <c r="H132" t="s">
        <v>707</v>
      </c>
      <c r="I132" t="s">
        <v>707</v>
      </c>
      <c r="K132" t="s">
        <v>707</v>
      </c>
      <c r="L132">
        <v>47</v>
      </c>
      <c r="M132">
        <v>82.84</v>
      </c>
    </row>
    <row r="133" spans="1:13" x14ac:dyDescent="0.25">
      <c r="A133" t="s">
        <v>1785</v>
      </c>
      <c r="B133">
        <v>73453319030</v>
      </c>
      <c r="H133" t="s">
        <v>707</v>
      </c>
      <c r="I133" t="s">
        <v>707</v>
      </c>
      <c r="J133" t="s">
        <v>707</v>
      </c>
      <c r="K133" t="s">
        <v>707</v>
      </c>
      <c r="L133">
        <v>65</v>
      </c>
      <c r="M133">
        <v>126.8</v>
      </c>
    </row>
    <row r="134" spans="1:13" x14ac:dyDescent="0.25">
      <c r="A134" t="s">
        <v>1790</v>
      </c>
      <c r="B134">
        <v>73434586908</v>
      </c>
      <c r="H134" t="s">
        <v>707</v>
      </c>
      <c r="I134" t="s">
        <v>707</v>
      </c>
      <c r="J134" t="s">
        <v>707</v>
      </c>
      <c r="K134" t="s">
        <v>707</v>
      </c>
      <c r="L134">
        <v>75</v>
      </c>
      <c r="M134">
        <v>143.75</v>
      </c>
    </row>
    <row r="135" spans="1:13" x14ac:dyDescent="0.25">
      <c r="A135" t="s">
        <v>1795</v>
      </c>
      <c r="B135">
        <v>73448493800</v>
      </c>
      <c r="H135" t="s">
        <v>707</v>
      </c>
      <c r="I135" t="s">
        <v>707</v>
      </c>
      <c r="J135" t="s">
        <v>707</v>
      </c>
      <c r="K135" t="s">
        <v>707</v>
      </c>
      <c r="L135">
        <v>50</v>
      </c>
      <c r="M135">
        <v>86</v>
      </c>
    </row>
    <row r="136" spans="1:13" x14ac:dyDescent="0.25">
      <c r="A136" t="s">
        <v>1800</v>
      </c>
      <c r="B136">
        <v>73375507384</v>
      </c>
      <c r="H136" t="s">
        <v>707</v>
      </c>
      <c r="I136" t="s">
        <v>707</v>
      </c>
      <c r="J136" t="s">
        <v>707</v>
      </c>
      <c r="K136" t="s">
        <v>707</v>
      </c>
      <c r="L136">
        <v>64</v>
      </c>
      <c r="M136">
        <v>137.5</v>
      </c>
    </row>
    <row r="137" spans="1:13" x14ac:dyDescent="0.25">
      <c r="A137" t="s">
        <v>1806</v>
      </c>
      <c r="B137">
        <v>73355999451</v>
      </c>
      <c r="H137" t="s">
        <v>707</v>
      </c>
      <c r="I137" t="s">
        <v>707</v>
      </c>
      <c r="J137" t="s">
        <v>707</v>
      </c>
      <c r="K137" t="s">
        <v>707</v>
      </c>
      <c r="L137">
        <v>82</v>
      </c>
      <c r="M137">
        <v>162.5</v>
      </c>
    </row>
    <row r="138" spans="1:13" x14ac:dyDescent="0.25">
      <c r="A138" t="s">
        <v>1812</v>
      </c>
      <c r="B138">
        <v>73417361762</v>
      </c>
      <c r="J138" t="s">
        <v>707</v>
      </c>
      <c r="L138">
        <v>63</v>
      </c>
      <c r="M138">
        <v>139.75</v>
      </c>
    </row>
    <row r="139" spans="1:13" x14ac:dyDescent="0.25">
      <c r="A139" t="s">
        <v>1816</v>
      </c>
      <c r="B139">
        <v>73445782588</v>
      </c>
      <c r="H139" t="s">
        <v>707</v>
      </c>
      <c r="I139" t="s">
        <v>707</v>
      </c>
      <c r="J139" t="s">
        <v>707</v>
      </c>
      <c r="K139" t="s">
        <v>707</v>
      </c>
      <c r="L139">
        <v>57</v>
      </c>
      <c r="M139">
        <v>140.25</v>
      </c>
    </row>
    <row r="140" spans="1:13" x14ac:dyDescent="0.25">
      <c r="A140" t="s">
        <v>1820</v>
      </c>
      <c r="B140">
        <v>73458608976</v>
      </c>
      <c r="H140" t="s">
        <v>707</v>
      </c>
      <c r="I140" t="s">
        <v>707</v>
      </c>
      <c r="J140" t="s">
        <v>707</v>
      </c>
      <c r="K140" t="s">
        <v>707</v>
      </c>
      <c r="L140">
        <v>73</v>
      </c>
      <c r="M140">
        <v>150.25</v>
      </c>
    </row>
    <row r="141" spans="1:13" x14ac:dyDescent="0.25">
      <c r="A141" t="s">
        <v>1825</v>
      </c>
      <c r="B141">
        <v>73434085476</v>
      </c>
      <c r="H141" t="s">
        <v>707</v>
      </c>
      <c r="I141" t="s">
        <v>707</v>
      </c>
      <c r="J141" t="s">
        <v>707</v>
      </c>
      <c r="K141" t="s">
        <v>707</v>
      </c>
      <c r="L141">
        <v>73</v>
      </c>
      <c r="M141">
        <v>162.25</v>
      </c>
    </row>
    <row r="142" spans="1:13" x14ac:dyDescent="0.25">
      <c r="A142" t="s">
        <v>1830</v>
      </c>
      <c r="B142">
        <v>73452211159</v>
      </c>
      <c r="H142" t="s">
        <v>707</v>
      </c>
      <c r="I142" t="s">
        <v>707</v>
      </c>
      <c r="J142" t="s">
        <v>707</v>
      </c>
      <c r="K142" t="s">
        <v>707</v>
      </c>
      <c r="L142">
        <v>71</v>
      </c>
      <c r="M142">
        <v>150.75</v>
      </c>
    </row>
    <row r="143" spans="1:13" x14ac:dyDescent="0.25">
      <c r="A143" t="s">
        <v>1835</v>
      </c>
      <c r="B143">
        <v>73377365054</v>
      </c>
      <c r="H143" t="s">
        <v>707</v>
      </c>
      <c r="I143" t="s">
        <v>707</v>
      </c>
      <c r="J143" t="s">
        <v>707</v>
      </c>
      <c r="K143" t="s">
        <v>707</v>
      </c>
      <c r="L143">
        <v>76</v>
      </c>
      <c r="M143">
        <v>170</v>
      </c>
    </row>
    <row r="144" spans="1:13" x14ac:dyDescent="0.25">
      <c r="A144" t="s">
        <v>1840</v>
      </c>
      <c r="B144">
        <v>73403038256</v>
      </c>
      <c r="H144" t="s">
        <v>707</v>
      </c>
      <c r="I144" t="s">
        <v>707</v>
      </c>
      <c r="J144" t="s">
        <v>707</v>
      </c>
      <c r="L144">
        <v>85</v>
      </c>
      <c r="M144">
        <v>175.25</v>
      </c>
    </row>
    <row r="145" spans="1:13" x14ac:dyDescent="0.25">
      <c r="A145" t="s">
        <v>1846</v>
      </c>
      <c r="B145">
        <v>73373316392</v>
      </c>
      <c r="H145" t="s">
        <v>707</v>
      </c>
      <c r="I145" t="s">
        <v>707</v>
      </c>
      <c r="J145" t="s">
        <v>707</v>
      </c>
      <c r="K145" t="s">
        <v>707</v>
      </c>
      <c r="L145">
        <v>58</v>
      </c>
      <c r="M145">
        <v>133.94</v>
      </c>
    </row>
    <row r="146" spans="1:13" x14ac:dyDescent="0.25">
      <c r="A146" t="s">
        <v>1851</v>
      </c>
      <c r="B146">
        <v>74214111000</v>
      </c>
      <c r="H146" t="s">
        <v>707</v>
      </c>
      <c r="I146" t="s">
        <v>707</v>
      </c>
      <c r="J146" t="s">
        <v>707</v>
      </c>
      <c r="K146" t="s">
        <v>707</v>
      </c>
      <c r="L146">
        <v>84</v>
      </c>
      <c r="M146">
        <v>130</v>
      </c>
    </row>
    <row r="147" spans="1:13" x14ac:dyDescent="0.25">
      <c r="A147" t="s">
        <v>1857</v>
      </c>
      <c r="B147">
        <v>73398242252</v>
      </c>
      <c r="H147" t="s">
        <v>707</v>
      </c>
      <c r="I147" t="s">
        <v>707</v>
      </c>
      <c r="J147" t="s">
        <v>707</v>
      </c>
      <c r="L147">
        <v>60</v>
      </c>
      <c r="M147">
        <v>127.5</v>
      </c>
    </row>
    <row r="148" spans="1:13" x14ac:dyDescent="0.25">
      <c r="A148" t="s">
        <v>1862</v>
      </c>
      <c r="B148">
        <v>73397706179</v>
      </c>
      <c r="H148" t="s">
        <v>707</v>
      </c>
      <c r="I148" t="s">
        <v>707</v>
      </c>
      <c r="J148" t="s">
        <v>707</v>
      </c>
      <c r="L148">
        <v>86</v>
      </c>
      <c r="M148">
        <v>132.5</v>
      </c>
    </row>
    <row r="149" spans="1:13" x14ac:dyDescent="0.25">
      <c r="A149" t="s">
        <v>1867</v>
      </c>
      <c r="B149">
        <v>73461374108</v>
      </c>
      <c r="H149" t="s">
        <v>707</v>
      </c>
      <c r="L149">
        <v>71</v>
      </c>
      <c r="M149">
        <v>136.30000000000001</v>
      </c>
    </row>
    <row r="150" spans="1:13" x14ac:dyDescent="0.25">
      <c r="A150" t="s">
        <v>1873</v>
      </c>
      <c r="B150">
        <v>73444904013</v>
      </c>
      <c r="H150" t="s">
        <v>707</v>
      </c>
      <c r="I150" t="s">
        <v>707</v>
      </c>
      <c r="J150" t="s">
        <v>707</v>
      </c>
      <c r="K150" t="s">
        <v>707</v>
      </c>
      <c r="L150">
        <v>67</v>
      </c>
      <c r="M150">
        <v>145.02000000000001</v>
      </c>
    </row>
    <row r="151" spans="1:13" x14ac:dyDescent="0.25">
      <c r="A151" t="s">
        <v>1878</v>
      </c>
      <c r="B151">
        <v>73441125482</v>
      </c>
      <c r="H151" t="s">
        <v>707</v>
      </c>
      <c r="I151" t="s">
        <v>707</v>
      </c>
      <c r="L151">
        <v>67</v>
      </c>
      <c r="M151">
        <v>118.75</v>
      </c>
    </row>
    <row r="152" spans="1:13" x14ac:dyDescent="0.25">
      <c r="A152" t="s">
        <v>1883</v>
      </c>
      <c r="B152">
        <v>73392543419</v>
      </c>
      <c r="H152" t="s">
        <v>707</v>
      </c>
      <c r="I152" t="s">
        <v>707</v>
      </c>
      <c r="J152" t="s">
        <v>707</v>
      </c>
      <c r="K152" t="s">
        <v>707</v>
      </c>
      <c r="L152">
        <v>79</v>
      </c>
      <c r="M152">
        <v>154.75</v>
      </c>
    </row>
    <row r="153" spans="1:13" x14ac:dyDescent="0.25">
      <c r="A153" t="s">
        <v>1887</v>
      </c>
      <c r="B153">
        <v>73465412898</v>
      </c>
      <c r="H153" t="s">
        <v>707</v>
      </c>
      <c r="I153" t="s">
        <v>707</v>
      </c>
      <c r="J153" t="s">
        <v>707</v>
      </c>
      <c r="K153" t="s">
        <v>707</v>
      </c>
      <c r="L153">
        <v>64</v>
      </c>
      <c r="M153">
        <v>140</v>
      </c>
    </row>
    <row r="154" spans="1:13" x14ac:dyDescent="0.25">
      <c r="A154" t="s">
        <v>1891</v>
      </c>
      <c r="B154">
        <v>73415374171</v>
      </c>
      <c r="H154" t="s">
        <v>707</v>
      </c>
      <c r="I154" t="s">
        <v>707</v>
      </c>
      <c r="J154" t="s">
        <v>707</v>
      </c>
      <c r="K154" t="s">
        <v>707</v>
      </c>
      <c r="L154">
        <v>88</v>
      </c>
      <c r="M154">
        <v>171</v>
      </c>
    </row>
    <row r="155" spans="1:13" x14ac:dyDescent="0.25">
      <c r="A155" t="s">
        <v>1896</v>
      </c>
      <c r="B155">
        <v>73366464798</v>
      </c>
      <c r="H155" t="s">
        <v>707</v>
      </c>
      <c r="I155" t="s">
        <v>707</v>
      </c>
      <c r="J155" t="s">
        <v>707</v>
      </c>
      <c r="K155" t="s">
        <v>707</v>
      </c>
      <c r="L155">
        <v>75</v>
      </c>
      <c r="M155">
        <v>148.75</v>
      </c>
    </row>
    <row r="156" spans="1:13" x14ac:dyDescent="0.25">
      <c r="A156" t="s">
        <v>1901</v>
      </c>
      <c r="B156">
        <v>73396591002</v>
      </c>
      <c r="H156" t="s">
        <v>707</v>
      </c>
      <c r="I156" t="s">
        <v>707</v>
      </c>
      <c r="J156" t="s">
        <v>707</v>
      </c>
      <c r="K156" t="s">
        <v>707</v>
      </c>
      <c r="L156">
        <v>70</v>
      </c>
      <c r="M156">
        <v>152.5</v>
      </c>
    </row>
    <row r="157" spans="1:13" x14ac:dyDescent="0.25">
      <c r="A157" t="s">
        <v>1906</v>
      </c>
      <c r="B157">
        <v>73453335286</v>
      </c>
      <c r="H157" t="s">
        <v>707</v>
      </c>
      <c r="I157" t="s">
        <v>707</v>
      </c>
      <c r="J157" t="s">
        <v>707</v>
      </c>
      <c r="K157" t="s">
        <v>707</v>
      </c>
      <c r="L157">
        <v>87</v>
      </c>
      <c r="M157">
        <v>173.75</v>
      </c>
    </row>
    <row r="158" spans="1:13" x14ac:dyDescent="0.25">
      <c r="A158" t="s">
        <v>1910</v>
      </c>
      <c r="B158">
        <v>73354124031</v>
      </c>
      <c r="H158" t="s">
        <v>707</v>
      </c>
      <c r="I158" t="s">
        <v>707</v>
      </c>
      <c r="J158" t="s">
        <v>707</v>
      </c>
      <c r="K158" t="s">
        <v>707</v>
      </c>
      <c r="L158">
        <v>76</v>
      </c>
      <c r="M158">
        <v>135</v>
      </c>
    </row>
    <row r="159" spans="1:13" x14ac:dyDescent="0.25">
      <c r="A159" t="s">
        <v>1915</v>
      </c>
      <c r="B159">
        <v>73433972875</v>
      </c>
      <c r="H159" t="s">
        <v>707</v>
      </c>
      <c r="I159" t="s">
        <v>707</v>
      </c>
      <c r="J159" t="s">
        <v>707</v>
      </c>
      <c r="K159" t="s">
        <v>707</v>
      </c>
      <c r="L159">
        <v>82</v>
      </c>
      <c r="M159">
        <v>172.5</v>
      </c>
    </row>
    <row r="160" spans="1:13" x14ac:dyDescent="0.25">
      <c r="A160" t="s">
        <v>1920</v>
      </c>
      <c r="B160">
        <v>73370819656</v>
      </c>
      <c r="H160" t="s">
        <v>707</v>
      </c>
      <c r="I160" t="s">
        <v>707</v>
      </c>
      <c r="J160" t="s">
        <v>707</v>
      </c>
      <c r="K160" t="s">
        <v>707</v>
      </c>
      <c r="L160">
        <v>70</v>
      </c>
      <c r="M160">
        <v>146.5</v>
      </c>
    </row>
    <row r="161" spans="1:13" x14ac:dyDescent="0.25">
      <c r="A161" t="s">
        <v>1923</v>
      </c>
      <c r="B161">
        <v>73388537952</v>
      </c>
      <c r="H161" t="s">
        <v>707</v>
      </c>
      <c r="J161" t="s">
        <v>707</v>
      </c>
      <c r="L161">
        <v>69</v>
      </c>
      <c r="M161">
        <v>154.83000000000001</v>
      </c>
    </row>
    <row r="162" spans="1:13" x14ac:dyDescent="0.25">
      <c r="A162" t="s">
        <v>1929</v>
      </c>
      <c r="B162">
        <v>73388066975</v>
      </c>
      <c r="H162" t="s">
        <v>707</v>
      </c>
      <c r="L162">
        <v>69</v>
      </c>
      <c r="M162">
        <v>147.88</v>
      </c>
    </row>
    <row r="163" spans="1:13" x14ac:dyDescent="0.25">
      <c r="A163" t="s">
        <v>1932</v>
      </c>
      <c r="B163">
        <v>73434246666</v>
      </c>
      <c r="H163" t="s">
        <v>707</v>
      </c>
      <c r="I163" t="s">
        <v>707</v>
      </c>
      <c r="L163">
        <v>76</v>
      </c>
      <c r="M163">
        <v>157</v>
      </c>
    </row>
    <row r="164" spans="1:13" x14ac:dyDescent="0.25">
      <c r="A164" t="s">
        <v>1938</v>
      </c>
      <c r="B164">
        <v>73436408585</v>
      </c>
      <c r="H164" t="s">
        <v>707</v>
      </c>
      <c r="L164">
        <v>76</v>
      </c>
      <c r="M164">
        <v>137.5</v>
      </c>
    </row>
    <row r="165" spans="1:13" x14ac:dyDescent="0.25">
      <c r="A165" t="s">
        <v>1944</v>
      </c>
      <c r="B165">
        <v>73477201214</v>
      </c>
      <c r="H165" t="s">
        <v>707</v>
      </c>
      <c r="I165" t="s">
        <v>707</v>
      </c>
      <c r="J165" t="s">
        <v>707</v>
      </c>
      <c r="K165" t="s">
        <v>707</v>
      </c>
      <c r="L165">
        <v>89</v>
      </c>
      <c r="M165">
        <v>178.25</v>
      </c>
    </row>
    <row r="166" spans="1:13" x14ac:dyDescent="0.25">
      <c r="A166" t="s">
        <v>1950</v>
      </c>
      <c r="B166">
        <v>73419619808</v>
      </c>
      <c r="H166" t="s">
        <v>707</v>
      </c>
      <c r="I166" t="s">
        <v>707</v>
      </c>
      <c r="J166" t="s">
        <v>707</v>
      </c>
      <c r="K166" t="s">
        <v>707</v>
      </c>
      <c r="L166">
        <v>62</v>
      </c>
      <c r="M166">
        <v>135.5</v>
      </c>
    </row>
    <row r="167" spans="1:13" x14ac:dyDescent="0.25">
      <c r="A167" t="s">
        <v>1954</v>
      </c>
      <c r="B167">
        <v>73452614582</v>
      </c>
      <c r="H167" t="s">
        <v>707</v>
      </c>
      <c r="I167" t="s">
        <v>707</v>
      </c>
      <c r="L167">
        <v>90</v>
      </c>
      <c r="M167">
        <v>180.5</v>
      </c>
    </row>
    <row r="168" spans="1:13" x14ac:dyDescent="0.25">
      <c r="A168" t="s">
        <v>1958</v>
      </c>
      <c r="B168">
        <v>73394182862</v>
      </c>
      <c r="H168" t="s">
        <v>707</v>
      </c>
      <c r="I168" t="s">
        <v>707</v>
      </c>
      <c r="L168">
        <v>91</v>
      </c>
      <c r="M168">
        <v>169.75</v>
      </c>
    </row>
    <row r="169" spans="1:13" x14ac:dyDescent="0.25">
      <c r="A169" t="s">
        <v>1963</v>
      </c>
      <c r="B169">
        <v>73451670818</v>
      </c>
      <c r="H169" t="s">
        <v>707</v>
      </c>
      <c r="I169" t="s">
        <v>707</v>
      </c>
      <c r="J169" t="s">
        <v>707</v>
      </c>
      <c r="K169" t="s">
        <v>707</v>
      </c>
      <c r="L169">
        <v>54</v>
      </c>
      <c r="M169">
        <v>92.5</v>
      </c>
    </row>
    <row r="170" spans="1:13" x14ac:dyDescent="0.25">
      <c r="A170" t="s">
        <v>1968</v>
      </c>
      <c r="B170">
        <v>73440202460</v>
      </c>
      <c r="H170" t="s">
        <v>707</v>
      </c>
      <c r="I170" t="s">
        <v>707</v>
      </c>
      <c r="J170" t="s">
        <v>707</v>
      </c>
      <c r="K170" t="s">
        <v>707</v>
      </c>
      <c r="L170">
        <v>65</v>
      </c>
      <c r="M170">
        <v>134.25</v>
      </c>
    </row>
    <row r="171" spans="1:13" x14ac:dyDescent="0.25">
      <c r="A171" t="s">
        <v>1973</v>
      </c>
      <c r="B171">
        <v>73596362201</v>
      </c>
      <c r="H171" t="s">
        <v>707</v>
      </c>
      <c r="L171">
        <v>91</v>
      </c>
      <c r="M171">
        <v>165.75</v>
      </c>
    </row>
    <row r="172" spans="1:13" x14ac:dyDescent="0.25">
      <c r="A172" t="s">
        <v>1979</v>
      </c>
      <c r="B172">
        <v>73409303441</v>
      </c>
      <c r="H172" t="s">
        <v>707</v>
      </c>
      <c r="J172" t="s">
        <v>707</v>
      </c>
      <c r="L172">
        <v>77</v>
      </c>
      <c r="M172">
        <v>168.25</v>
      </c>
    </row>
    <row r="173" spans="1:13" x14ac:dyDescent="0.25">
      <c r="A173" t="s">
        <v>1984</v>
      </c>
      <c r="B173">
        <v>73459681193</v>
      </c>
      <c r="H173" t="s">
        <v>707</v>
      </c>
      <c r="I173" t="s">
        <v>707</v>
      </c>
      <c r="J173" t="s">
        <v>707</v>
      </c>
      <c r="K173" t="s">
        <v>707</v>
      </c>
      <c r="L173">
        <v>83</v>
      </c>
      <c r="M173">
        <v>172.75</v>
      </c>
    </row>
    <row r="174" spans="1:13" x14ac:dyDescent="0.25">
      <c r="A174" t="s">
        <v>1989</v>
      </c>
      <c r="B174">
        <v>73343503948</v>
      </c>
      <c r="H174" t="s">
        <v>707</v>
      </c>
      <c r="I174" t="s">
        <v>707</v>
      </c>
      <c r="J174" t="s">
        <v>707</v>
      </c>
      <c r="K174" t="s">
        <v>707</v>
      </c>
      <c r="L174">
        <v>63</v>
      </c>
      <c r="M174">
        <v>145.30000000000001</v>
      </c>
    </row>
    <row r="175" spans="1:13" x14ac:dyDescent="0.25">
      <c r="A175" t="s">
        <v>1994</v>
      </c>
      <c r="B175">
        <v>73374399700</v>
      </c>
      <c r="H175" t="s">
        <v>707</v>
      </c>
      <c r="I175" t="s">
        <v>707</v>
      </c>
      <c r="J175" t="s">
        <v>707</v>
      </c>
      <c r="K175" t="s">
        <v>707</v>
      </c>
      <c r="L175">
        <v>71</v>
      </c>
      <c r="M175">
        <v>162.75</v>
      </c>
    </row>
    <row r="176" spans="1:13" x14ac:dyDescent="0.25">
      <c r="A176" t="s">
        <v>1999</v>
      </c>
      <c r="B176">
        <v>73483894300</v>
      </c>
      <c r="H176" t="s">
        <v>707</v>
      </c>
      <c r="I176" t="s">
        <v>707</v>
      </c>
      <c r="J176" t="s">
        <v>707</v>
      </c>
      <c r="K176" t="s">
        <v>707</v>
      </c>
      <c r="L176">
        <v>78</v>
      </c>
      <c r="M176">
        <v>170.5</v>
      </c>
    </row>
    <row r="177" spans="1:13" x14ac:dyDescent="0.25">
      <c r="A177" t="s">
        <v>2005</v>
      </c>
      <c r="B177">
        <v>73451240657</v>
      </c>
      <c r="H177" t="s">
        <v>707</v>
      </c>
      <c r="I177" t="s">
        <v>707</v>
      </c>
      <c r="K177" t="s">
        <v>707</v>
      </c>
      <c r="L177">
        <v>63</v>
      </c>
      <c r="M177">
        <v>143.75</v>
      </c>
    </row>
    <row r="178" spans="1:13" x14ac:dyDescent="0.25">
      <c r="A178" t="s">
        <v>2009</v>
      </c>
      <c r="B178">
        <v>73479782489</v>
      </c>
      <c r="H178" t="s">
        <v>707</v>
      </c>
      <c r="L178">
        <v>82</v>
      </c>
      <c r="M178">
        <v>168.5</v>
      </c>
    </row>
    <row r="179" spans="1:13" x14ac:dyDescent="0.25">
      <c r="A179" t="s">
        <v>2013</v>
      </c>
      <c r="B179">
        <v>73347281187</v>
      </c>
      <c r="H179" t="s">
        <v>707</v>
      </c>
      <c r="I179" t="s">
        <v>707</v>
      </c>
      <c r="J179" t="s">
        <v>707</v>
      </c>
      <c r="K179" t="s">
        <v>707</v>
      </c>
      <c r="L179">
        <v>53</v>
      </c>
      <c r="M179">
        <v>123.68</v>
      </c>
    </row>
    <row r="180" spans="1:13" x14ac:dyDescent="0.25">
      <c r="A180" t="s">
        <v>2018</v>
      </c>
      <c r="B180">
        <v>73427679480</v>
      </c>
      <c r="H180" t="s">
        <v>707</v>
      </c>
      <c r="I180" t="s">
        <v>707</v>
      </c>
      <c r="J180" t="s">
        <v>707</v>
      </c>
      <c r="K180" t="s">
        <v>707</v>
      </c>
      <c r="L180">
        <v>69</v>
      </c>
      <c r="M180">
        <v>156.75</v>
      </c>
    </row>
    <row r="181" spans="1:13" x14ac:dyDescent="0.25">
      <c r="A181" t="s">
        <v>2023</v>
      </c>
      <c r="B181">
        <v>73355399771</v>
      </c>
      <c r="J181" t="s">
        <v>707</v>
      </c>
      <c r="L181">
        <v>83</v>
      </c>
      <c r="M181">
        <v>173.29</v>
      </c>
    </row>
    <row r="182" spans="1:13" x14ac:dyDescent="0.25">
      <c r="A182" t="s">
        <v>2029</v>
      </c>
      <c r="B182">
        <v>73397095466</v>
      </c>
      <c r="H182" t="s">
        <v>707</v>
      </c>
      <c r="I182" t="s">
        <v>707</v>
      </c>
      <c r="J182" t="s">
        <v>707</v>
      </c>
      <c r="K182" t="s">
        <v>707</v>
      </c>
      <c r="L182">
        <v>79</v>
      </c>
      <c r="M182">
        <v>121.47</v>
      </c>
    </row>
    <row r="183" spans="1:13" x14ac:dyDescent="0.25">
      <c r="A183" t="s">
        <v>2033</v>
      </c>
      <c r="B183">
        <v>73395980409</v>
      </c>
      <c r="H183" t="s">
        <v>707</v>
      </c>
      <c r="I183" t="s">
        <v>707</v>
      </c>
      <c r="J183" t="s">
        <v>707</v>
      </c>
      <c r="K183" t="s">
        <v>707</v>
      </c>
      <c r="L183">
        <v>68</v>
      </c>
      <c r="M183">
        <v>85</v>
      </c>
    </row>
    <row r="184" spans="1:13" x14ac:dyDescent="0.25">
      <c r="A184" t="s">
        <v>2038</v>
      </c>
      <c r="B184">
        <v>73457052387</v>
      </c>
      <c r="H184" t="s">
        <v>707</v>
      </c>
      <c r="I184" t="s">
        <v>707</v>
      </c>
      <c r="J184" t="s">
        <v>707</v>
      </c>
      <c r="K184" t="s">
        <v>707</v>
      </c>
      <c r="L184">
        <v>82</v>
      </c>
      <c r="M184">
        <v>175.5</v>
      </c>
    </row>
    <row r="185" spans="1:13" x14ac:dyDescent="0.25">
      <c r="A185" t="s">
        <v>2043</v>
      </c>
      <c r="B185">
        <v>73355322097</v>
      </c>
      <c r="H185" t="s">
        <v>707</v>
      </c>
      <c r="I185" t="s">
        <v>707</v>
      </c>
      <c r="J185" t="s">
        <v>707</v>
      </c>
      <c r="K185" t="s">
        <v>707</v>
      </c>
      <c r="L185">
        <v>76</v>
      </c>
      <c r="M185">
        <v>168</v>
      </c>
    </row>
    <row r="186" spans="1:13" x14ac:dyDescent="0.25">
      <c r="A186" t="s">
        <v>2050</v>
      </c>
      <c r="B186">
        <v>73379215029</v>
      </c>
      <c r="H186" t="s">
        <v>707</v>
      </c>
      <c r="L186">
        <v>51</v>
      </c>
      <c r="M186">
        <v>88.25</v>
      </c>
    </row>
    <row r="187" spans="1:13" x14ac:dyDescent="0.25">
      <c r="A187" t="s">
        <v>2055</v>
      </c>
      <c r="B187">
        <v>73542078254</v>
      </c>
      <c r="J187" t="s">
        <v>707</v>
      </c>
      <c r="L187">
        <v>73</v>
      </c>
      <c r="M187">
        <v>150.80000000000001</v>
      </c>
    </row>
    <row r="188" spans="1:13" x14ac:dyDescent="0.25">
      <c r="A188" t="s">
        <v>2059</v>
      </c>
      <c r="B188">
        <v>73375728859</v>
      </c>
      <c r="H188" t="s">
        <v>707</v>
      </c>
      <c r="I188" t="s">
        <v>707</v>
      </c>
      <c r="J188" t="s">
        <v>707</v>
      </c>
      <c r="K188" t="s">
        <v>707</v>
      </c>
      <c r="L188">
        <v>66</v>
      </c>
      <c r="M188">
        <v>153</v>
      </c>
    </row>
    <row r="189" spans="1:13" x14ac:dyDescent="0.25">
      <c r="A189" t="s">
        <v>2064</v>
      </c>
      <c r="B189">
        <v>73367209314</v>
      </c>
      <c r="H189" t="s">
        <v>707</v>
      </c>
      <c r="L189">
        <v>81</v>
      </c>
      <c r="M189">
        <v>136.25</v>
      </c>
    </row>
    <row r="190" spans="1:13" x14ac:dyDescent="0.25">
      <c r="A190" t="s">
        <v>2069</v>
      </c>
      <c r="B190">
        <v>73457498065</v>
      </c>
      <c r="H190" t="s">
        <v>707</v>
      </c>
      <c r="I190" t="s">
        <v>707</v>
      </c>
      <c r="J190" t="s">
        <v>707</v>
      </c>
      <c r="K190" t="s">
        <v>707</v>
      </c>
      <c r="L190">
        <v>74</v>
      </c>
      <c r="M190">
        <v>150.12</v>
      </c>
    </row>
    <row r="191" spans="1:13" x14ac:dyDescent="0.25">
      <c r="A191" t="s">
        <v>2075</v>
      </c>
      <c r="B191">
        <v>73433826124</v>
      </c>
      <c r="H191" t="s">
        <v>707</v>
      </c>
      <c r="I191" t="s">
        <v>707</v>
      </c>
      <c r="J191" t="s">
        <v>707</v>
      </c>
      <c r="K191" t="s">
        <v>707</v>
      </c>
      <c r="L191">
        <v>83</v>
      </c>
      <c r="M191">
        <v>175.75</v>
      </c>
    </row>
    <row r="192" spans="1:13" x14ac:dyDescent="0.25">
      <c r="A192" t="s">
        <v>2081</v>
      </c>
      <c r="B192">
        <v>73380164423</v>
      </c>
      <c r="H192" t="s">
        <v>707</v>
      </c>
      <c r="I192" t="s">
        <v>707</v>
      </c>
      <c r="J192" t="s">
        <v>707</v>
      </c>
      <c r="L192">
        <v>78</v>
      </c>
      <c r="M192">
        <v>161.5</v>
      </c>
    </row>
    <row r="193" spans="1:13" x14ac:dyDescent="0.25">
      <c r="A193" t="s">
        <v>2085</v>
      </c>
      <c r="B193">
        <v>73377394940</v>
      </c>
      <c r="H193" t="s">
        <v>707</v>
      </c>
      <c r="I193" t="s">
        <v>707</v>
      </c>
      <c r="K193" t="s">
        <v>707</v>
      </c>
      <c r="L193">
        <v>68</v>
      </c>
      <c r="M193">
        <v>155</v>
      </c>
    </row>
    <row r="194" spans="1:13" x14ac:dyDescent="0.25">
      <c r="A194" t="s">
        <v>2089</v>
      </c>
      <c r="B194">
        <v>73381903177</v>
      </c>
      <c r="H194" t="s">
        <v>707</v>
      </c>
      <c r="I194" t="s">
        <v>707</v>
      </c>
      <c r="J194" t="s">
        <v>707</v>
      </c>
      <c r="K194" t="s">
        <v>707</v>
      </c>
      <c r="L194">
        <v>93</v>
      </c>
      <c r="M194">
        <v>188.25</v>
      </c>
    </row>
    <row r="195" spans="1:13" x14ac:dyDescent="0.25">
      <c r="A195" t="s">
        <v>2094</v>
      </c>
      <c r="B195">
        <v>73455849297</v>
      </c>
      <c r="H195" t="s">
        <v>707</v>
      </c>
      <c r="I195" t="s">
        <v>707</v>
      </c>
      <c r="L195">
        <v>80</v>
      </c>
      <c r="M195">
        <v>168</v>
      </c>
    </row>
    <row r="196" spans="1:13" x14ac:dyDescent="0.25">
      <c r="A196" t="s">
        <v>2098</v>
      </c>
      <c r="B196">
        <v>73392263925</v>
      </c>
      <c r="H196" t="s">
        <v>707</v>
      </c>
      <c r="I196" t="s">
        <v>707</v>
      </c>
      <c r="J196" t="s">
        <v>707</v>
      </c>
      <c r="K196" t="s">
        <v>707</v>
      </c>
      <c r="L196">
        <v>67</v>
      </c>
      <c r="M196">
        <v>153.75</v>
      </c>
    </row>
    <row r="197" spans="1:13" x14ac:dyDescent="0.25">
      <c r="A197" t="s">
        <v>2103</v>
      </c>
      <c r="B197">
        <v>73441453376</v>
      </c>
      <c r="H197" t="s">
        <v>707</v>
      </c>
      <c r="I197" t="s">
        <v>707</v>
      </c>
      <c r="J197" t="s">
        <v>707</v>
      </c>
      <c r="K197" t="s">
        <v>707</v>
      </c>
      <c r="L197">
        <v>65</v>
      </c>
      <c r="M197">
        <v>154.25</v>
      </c>
    </row>
    <row r="198" spans="1:13" x14ac:dyDescent="0.25">
      <c r="A198" t="s">
        <v>2108</v>
      </c>
      <c r="B198">
        <v>73388860536</v>
      </c>
      <c r="H198" t="s">
        <v>707</v>
      </c>
      <c r="I198" t="s">
        <v>707</v>
      </c>
      <c r="J198" t="s">
        <v>707</v>
      </c>
      <c r="K198" t="s">
        <v>707</v>
      </c>
      <c r="L198">
        <v>72</v>
      </c>
      <c r="M198">
        <v>133</v>
      </c>
    </row>
    <row r="199" spans="1:13" x14ac:dyDescent="0.25">
      <c r="A199" t="s">
        <v>2112</v>
      </c>
      <c r="B199">
        <v>73446881992</v>
      </c>
      <c r="H199" t="s">
        <v>707</v>
      </c>
      <c r="I199" t="s">
        <v>707</v>
      </c>
      <c r="J199" t="s">
        <v>707</v>
      </c>
      <c r="K199" t="s">
        <v>707</v>
      </c>
      <c r="L199">
        <v>59</v>
      </c>
      <c r="M199">
        <v>145.93</v>
      </c>
    </row>
    <row r="200" spans="1:13" x14ac:dyDescent="0.25">
      <c r="A200" t="s">
        <v>2117</v>
      </c>
      <c r="B200">
        <v>73401195268</v>
      </c>
      <c r="H200" t="s">
        <v>707</v>
      </c>
      <c r="I200" t="s">
        <v>707</v>
      </c>
      <c r="J200" t="s">
        <v>707</v>
      </c>
      <c r="L200">
        <v>62</v>
      </c>
      <c r="M200">
        <v>151.5</v>
      </c>
    </row>
    <row r="201" spans="1:13" x14ac:dyDescent="0.25">
      <c r="A201" t="s">
        <v>2122</v>
      </c>
      <c r="B201">
        <v>73467305298</v>
      </c>
      <c r="H201" t="s">
        <v>707</v>
      </c>
      <c r="L201">
        <v>63</v>
      </c>
      <c r="M201">
        <v>145.75</v>
      </c>
    </row>
    <row r="202" spans="1:13" x14ac:dyDescent="0.25">
      <c r="A202" t="s">
        <v>2125</v>
      </c>
      <c r="B202">
        <v>73450879533</v>
      </c>
      <c r="H202" t="s">
        <v>707</v>
      </c>
      <c r="I202" t="s">
        <v>707</v>
      </c>
      <c r="J202" t="s">
        <v>707</v>
      </c>
      <c r="L202">
        <v>75</v>
      </c>
      <c r="M202">
        <v>166.75</v>
      </c>
    </row>
    <row r="203" spans="1:13" x14ac:dyDescent="0.25">
      <c r="A203" t="s">
        <v>2131</v>
      </c>
      <c r="B203">
        <v>73386282676</v>
      </c>
      <c r="J203" t="s">
        <v>707</v>
      </c>
      <c r="L203">
        <v>70</v>
      </c>
      <c r="M203">
        <v>158.25</v>
      </c>
    </row>
    <row r="204" spans="1:13" x14ac:dyDescent="0.25">
      <c r="A204" t="s">
        <v>2136</v>
      </c>
      <c r="B204">
        <v>73383115638</v>
      </c>
      <c r="H204" t="s">
        <v>707</v>
      </c>
      <c r="I204" t="s">
        <v>707</v>
      </c>
      <c r="J204" t="s">
        <v>707</v>
      </c>
      <c r="K204" t="s">
        <v>707</v>
      </c>
      <c r="L204">
        <v>70</v>
      </c>
      <c r="M204">
        <v>159.05000000000001</v>
      </c>
    </row>
    <row r="205" spans="1:13" x14ac:dyDescent="0.25">
      <c r="A205" t="s">
        <v>2141</v>
      </c>
      <c r="B205">
        <v>73428458368</v>
      </c>
      <c r="H205" t="s">
        <v>707</v>
      </c>
      <c r="I205" t="s">
        <v>707</v>
      </c>
      <c r="J205" t="s">
        <v>707</v>
      </c>
      <c r="K205" t="s">
        <v>707</v>
      </c>
      <c r="L205">
        <v>80</v>
      </c>
      <c r="M205">
        <v>174</v>
      </c>
    </row>
    <row r="206" spans="1:13" x14ac:dyDescent="0.25">
      <c r="A206" t="s">
        <v>2146</v>
      </c>
      <c r="B206">
        <v>73573016954</v>
      </c>
      <c r="H206" t="s">
        <v>707</v>
      </c>
      <c r="J206" t="s">
        <v>707</v>
      </c>
      <c r="L206">
        <v>37</v>
      </c>
      <c r="M206">
        <v>70.83</v>
      </c>
    </row>
    <row r="207" spans="1:13" x14ac:dyDescent="0.25">
      <c r="A207" t="s">
        <v>2152</v>
      </c>
      <c r="B207">
        <v>73383922770</v>
      </c>
      <c r="H207" t="s">
        <v>707</v>
      </c>
      <c r="I207" t="s">
        <v>707</v>
      </c>
      <c r="J207" t="s">
        <v>707</v>
      </c>
      <c r="K207" t="s">
        <v>707</v>
      </c>
      <c r="L207">
        <v>74</v>
      </c>
      <c r="M207">
        <v>149.5</v>
      </c>
    </row>
    <row r="208" spans="1:13" x14ac:dyDescent="0.25">
      <c r="A208" t="s">
        <v>2156</v>
      </c>
      <c r="B208">
        <v>73397094404</v>
      </c>
      <c r="H208" t="s">
        <v>707</v>
      </c>
      <c r="I208" t="s">
        <v>707</v>
      </c>
      <c r="J208" t="s">
        <v>707</v>
      </c>
      <c r="K208" t="s">
        <v>707</v>
      </c>
      <c r="L208">
        <v>70</v>
      </c>
      <c r="M208">
        <v>160.5</v>
      </c>
    </row>
    <row r="209" spans="1:13" x14ac:dyDescent="0.25">
      <c r="A209" t="s">
        <v>2162</v>
      </c>
      <c r="B209">
        <v>73398200860</v>
      </c>
      <c r="H209" t="s">
        <v>707</v>
      </c>
      <c r="I209" t="s">
        <v>707</v>
      </c>
      <c r="J209" t="s">
        <v>707</v>
      </c>
      <c r="K209" t="s">
        <v>707</v>
      </c>
      <c r="L209">
        <v>87</v>
      </c>
      <c r="M209">
        <v>178.75</v>
      </c>
    </row>
    <row r="210" spans="1:13" x14ac:dyDescent="0.25">
      <c r="A210" t="s">
        <v>2166</v>
      </c>
      <c r="B210">
        <v>73468132299</v>
      </c>
      <c r="H210" t="s">
        <v>707</v>
      </c>
      <c r="I210" t="s">
        <v>707</v>
      </c>
      <c r="K210" t="s">
        <v>707</v>
      </c>
      <c r="L210">
        <v>87</v>
      </c>
      <c r="M210">
        <v>169.75</v>
      </c>
    </row>
    <row r="211" spans="1:13" x14ac:dyDescent="0.25">
      <c r="A211" t="s">
        <v>2171</v>
      </c>
      <c r="B211">
        <v>73409504851</v>
      </c>
      <c r="H211" t="s">
        <v>707</v>
      </c>
      <c r="K211" t="s">
        <v>707</v>
      </c>
      <c r="L211">
        <v>83</v>
      </c>
      <c r="M211">
        <v>174.75</v>
      </c>
    </row>
    <row r="212" spans="1:13" x14ac:dyDescent="0.25">
      <c r="A212" t="s">
        <v>2175</v>
      </c>
      <c r="B212">
        <v>73469581852</v>
      </c>
      <c r="H212" t="s">
        <v>707</v>
      </c>
      <c r="I212" t="s">
        <v>707</v>
      </c>
      <c r="J212" t="s">
        <v>707</v>
      </c>
      <c r="K212" t="s">
        <v>707</v>
      </c>
      <c r="L212">
        <v>78</v>
      </c>
      <c r="M212">
        <v>145.5</v>
      </c>
    </row>
    <row r="213" spans="1:13" x14ac:dyDescent="0.25">
      <c r="A213" t="s">
        <v>2178</v>
      </c>
      <c r="B213">
        <v>73434106790</v>
      </c>
      <c r="H213" t="s">
        <v>707</v>
      </c>
      <c r="I213" t="s">
        <v>707</v>
      </c>
      <c r="J213" t="s">
        <v>707</v>
      </c>
      <c r="L213">
        <v>77</v>
      </c>
      <c r="M213">
        <v>150.25</v>
      </c>
    </row>
    <row r="214" spans="1:13" x14ac:dyDescent="0.25">
      <c r="A214" t="s">
        <v>2183</v>
      </c>
      <c r="B214">
        <v>73476816770</v>
      </c>
      <c r="H214" t="s">
        <v>707</v>
      </c>
      <c r="I214" t="s">
        <v>707</v>
      </c>
      <c r="J214" t="s">
        <v>707</v>
      </c>
      <c r="K214" t="s">
        <v>707</v>
      </c>
      <c r="L214">
        <v>93</v>
      </c>
      <c r="M214">
        <v>173.25</v>
      </c>
    </row>
    <row r="215" spans="1:13" x14ac:dyDescent="0.25">
      <c r="A215" t="s">
        <v>2187</v>
      </c>
      <c r="B215">
        <v>73405061333</v>
      </c>
      <c r="H215" t="s">
        <v>707</v>
      </c>
      <c r="I215" t="s">
        <v>707</v>
      </c>
      <c r="J215" t="s">
        <v>707</v>
      </c>
      <c r="K215" t="s">
        <v>707</v>
      </c>
      <c r="L215">
        <v>85</v>
      </c>
      <c r="M215">
        <v>177.25</v>
      </c>
    </row>
    <row r="216" spans="1:13" x14ac:dyDescent="0.25">
      <c r="A216" t="s">
        <v>2192</v>
      </c>
      <c r="B216">
        <v>73386368117</v>
      </c>
      <c r="H216" t="s">
        <v>707</v>
      </c>
      <c r="I216" t="s">
        <v>707</v>
      </c>
      <c r="J216" t="s">
        <v>707</v>
      </c>
      <c r="K216" t="s">
        <v>707</v>
      </c>
      <c r="L216">
        <v>64</v>
      </c>
      <c r="M216">
        <v>105</v>
      </c>
    </row>
    <row r="217" spans="1:13" x14ac:dyDescent="0.25">
      <c r="A217" t="s">
        <v>2197</v>
      </c>
      <c r="B217">
        <v>73389177137</v>
      </c>
      <c r="H217" t="s">
        <v>707</v>
      </c>
      <c r="I217" t="s">
        <v>707</v>
      </c>
      <c r="J217" t="s">
        <v>707</v>
      </c>
      <c r="K217" t="s">
        <v>707</v>
      </c>
      <c r="L217">
        <v>77</v>
      </c>
      <c r="M217">
        <v>169.25</v>
      </c>
    </row>
    <row r="218" spans="1:13" x14ac:dyDescent="0.25">
      <c r="A218" t="s">
        <v>2202</v>
      </c>
      <c r="B218">
        <v>73433982479</v>
      </c>
      <c r="H218" t="s">
        <v>707</v>
      </c>
      <c r="I218" t="s">
        <v>707</v>
      </c>
      <c r="J218" t="s">
        <v>707</v>
      </c>
      <c r="L218">
        <v>66</v>
      </c>
      <c r="M218">
        <v>145.59</v>
      </c>
    </row>
    <row r="219" spans="1:13" x14ac:dyDescent="0.25">
      <c r="A219" t="s">
        <v>2206</v>
      </c>
      <c r="B219">
        <v>73451007188</v>
      </c>
      <c r="H219" t="s">
        <v>707</v>
      </c>
      <c r="I219" t="s">
        <v>707</v>
      </c>
      <c r="J219" t="s">
        <v>707</v>
      </c>
      <c r="K219" t="s">
        <v>707</v>
      </c>
      <c r="L219">
        <v>74</v>
      </c>
      <c r="M219">
        <v>155.5</v>
      </c>
    </row>
    <row r="220" spans="1:13" x14ac:dyDescent="0.25">
      <c r="A220" t="s">
        <v>2211</v>
      </c>
      <c r="B220">
        <v>73423956297</v>
      </c>
      <c r="H220" t="s">
        <v>707</v>
      </c>
      <c r="I220" t="s">
        <v>707</v>
      </c>
      <c r="J220" t="s">
        <v>707</v>
      </c>
      <c r="L220">
        <v>73</v>
      </c>
      <c r="M220">
        <v>147.25</v>
      </c>
    </row>
    <row r="221" spans="1:13" x14ac:dyDescent="0.25">
      <c r="A221" t="s">
        <v>2216</v>
      </c>
      <c r="B221">
        <v>73362108829</v>
      </c>
      <c r="H221" t="s">
        <v>707</v>
      </c>
      <c r="I221" t="s">
        <v>707</v>
      </c>
      <c r="J221" t="s">
        <v>707</v>
      </c>
      <c r="K221" t="s">
        <v>707</v>
      </c>
      <c r="L221">
        <v>56</v>
      </c>
      <c r="M221">
        <v>139</v>
      </c>
    </row>
    <row r="222" spans="1:13" x14ac:dyDescent="0.25">
      <c r="A222" t="s">
        <v>2222</v>
      </c>
      <c r="B222">
        <v>73377956129</v>
      </c>
      <c r="H222" t="s">
        <v>707</v>
      </c>
      <c r="I222" t="s">
        <v>707</v>
      </c>
      <c r="J222" t="s">
        <v>707</v>
      </c>
      <c r="K222" t="s">
        <v>707</v>
      </c>
      <c r="L222">
        <v>67</v>
      </c>
      <c r="M222">
        <v>154.75</v>
      </c>
    </row>
    <row r="223" spans="1:13" x14ac:dyDescent="0.25">
      <c r="A223" t="s">
        <v>2228</v>
      </c>
      <c r="B223">
        <v>73403301833</v>
      </c>
      <c r="H223" t="s">
        <v>707</v>
      </c>
      <c r="I223" t="s">
        <v>707</v>
      </c>
      <c r="J223" t="s">
        <v>707</v>
      </c>
      <c r="K223" t="s">
        <v>707</v>
      </c>
      <c r="L223">
        <v>78</v>
      </c>
      <c r="M223">
        <v>164.5</v>
      </c>
    </row>
    <row r="224" spans="1:13" x14ac:dyDescent="0.25">
      <c r="A224" t="s">
        <v>2234</v>
      </c>
      <c r="B224">
        <v>73484274121</v>
      </c>
      <c r="H224" t="s">
        <v>707</v>
      </c>
      <c r="I224" t="s">
        <v>707</v>
      </c>
      <c r="J224" t="s">
        <v>707</v>
      </c>
      <c r="K224" t="s">
        <v>707</v>
      </c>
      <c r="L224">
        <v>77</v>
      </c>
      <c r="M224">
        <v>154.25</v>
      </c>
    </row>
    <row r="225" spans="1:13" x14ac:dyDescent="0.25">
      <c r="A225" t="s">
        <v>2239</v>
      </c>
      <c r="B225">
        <v>73355315314</v>
      </c>
      <c r="H225" t="s">
        <v>707</v>
      </c>
      <c r="I225" t="s">
        <v>707</v>
      </c>
      <c r="J225" t="s">
        <v>707</v>
      </c>
      <c r="K225" t="s">
        <v>707</v>
      </c>
      <c r="L225">
        <v>76</v>
      </c>
      <c r="M225">
        <v>157</v>
      </c>
    </row>
    <row r="226" spans="1:13" x14ac:dyDescent="0.25">
      <c r="A226" t="s">
        <v>2244</v>
      </c>
      <c r="B226">
        <v>73394043958</v>
      </c>
      <c r="H226" t="s">
        <v>707</v>
      </c>
      <c r="I226" t="s">
        <v>707</v>
      </c>
      <c r="K226" t="s">
        <v>707</v>
      </c>
      <c r="L226">
        <v>64</v>
      </c>
      <c r="M226">
        <v>147.63</v>
      </c>
    </row>
    <row r="227" spans="1:13" x14ac:dyDescent="0.25">
      <c r="A227" t="s">
        <v>2248</v>
      </c>
      <c r="B227">
        <v>73393876626</v>
      </c>
      <c r="H227" t="s">
        <v>707</v>
      </c>
      <c r="I227" t="s">
        <v>707</v>
      </c>
      <c r="J227" t="s">
        <v>707</v>
      </c>
      <c r="K227" t="s">
        <v>707</v>
      </c>
      <c r="L227">
        <v>68</v>
      </c>
      <c r="M227">
        <v>156</v>
      </c>
    </row>
    <row r="228" spans="1:13" x14ac:dyDescent="0.25">
      <c r="A228" t="s">
        <v>2254</v>
      </c>
      <c r="B228">
        <v>73368474407</v>
      </c>
      <c r="H228" t="s">
        <v>707</v>
      </c>
      <c r="I228" t="s">
        <v>707</v>
      </c>
      <c r="J228" t="s">
        <v>707</v>
      </c>
      <c r="K228" t="s">
        <v>707</v>
      </c>
      <c r="L228">
        <v>70</v>
      </c>
      <c r="M228">
        <v>148.13999999999999</v>
      </c>
    </row>
    <row r="229" spans="1:13" x14ac:dyDescent="0.25">
      <c r="A229" t="s">
        <v>2260</v>
      </c>
      <c r="B229">
        <v>73439729834</v>
      </c>
      <c r="H229" t="s">
        <v>707</v>
      </c>
      <c r="I229" t="s">
        <v>707</v>
      </c>
      <c r="J229" t="s">
        <v>707</v>
      </c>
      <c r="L229">
        <v>72</v>
      </c>
      <c r="M229">
        <v>126</v>
      </c>
    </row>
    <row r="230" spans="1:13" x14ac:dyDescent="0.25">
      <c r="A230" t="s">
        <v>2266</v>
      </c>
      <c r="B230">
        <v>73489743706</v>
      </c>
      <c r="H230" t="s">
        <v>707</v>
      </c>
      <c r="I230" t="s">
        <v>707</v>
      </c>
      <c r="J230" t="s">
        <v>707</v>
      </c>
      <c r="K230" t="s">
        <v>707</v>
      </c>
      <c r="L230">
        <v>83</v>
      </c>
      <c r="M230">
        <v>171.75</v>
      </c>
    </row>
    <row r="231" spans="1:13" x14ac:dyDescent="0.25">
      <c r="A231" t="s">
        <v>2270</v>
      </c>
      <c r="B231">
        <v>73394526266</v>
      </c>
      <c r="H231" t="s">
        <v>707</v>
      </c>
      <c r="I231" t="s">
        <v>707</v>
      </c>
      <c r="L231">
        <v>70</v>
      </c>
      <c r="M231">
        <v>159</v>
      </c>
    </row>
    <row r="232" spans="1:13" x14ac:dyDescent="0.25">
      <c r="A232" t="s">
        <v>2276</v>
      </c>
      <c r="B232">
        <v>73356617786</v>
      </c>
      <c r="H232" t="s">
        <v>707</v>
      </c>
      <c r="I232" t="s">
        <v>707</v>
      </c>
      <c r="J232" t="s">
        <v>707</v>
      </c>
      <c r="K232" t="s">
        <v>707</v>
      </c>
      <c r="L232">
        <v>77</v>
      </c>
      <c r="M232">
        <v>171.25</v>
      </c>
    </row>
    <row r="233" spans="1:13" x14ac:dyDescent="0.25">
      <c r="A233" t="s">
        <v>2281</v>
      </c>
      <c r="B233">
        <v>73433973380</v>
      </c>
      <c r="H233" t="s">
        <v>707</v>
      </c>
      <c r="I233" t="s">
        <v>707</v>
      </c>
      <c r="J233" t="s">
        <v>707</v>
      </c>
      <c r="K233" t="s">
        <v>707</v>
      </c>
      <c r="L233">
        <v>69</v>
      </c>
      <c r="M233">
        <v>157.25</v>
      </c>
    </row>
    <row r="234" spans="1:13" x14ac:dyDescent="0.25">
      <c r="A234" t="s">
        <v>2286</v>
      </c>
      <c r="B234">
        <v>73443908312</v>
      </c>
      <c r="H234" t="s">
        <v>707</v>
      </c>
      <c r="I234" t="s">
        <v>707</v>
      </c>
      <c r="K234" t="s">
        <v>707</v>
      </c>
      <c r="L234">
        <v>79</v>
      </c>
      <c r="M234">
        <v>159.25</v>
      </c>
    </row>
    <row r="235" spans="1:13" x14ac:dyDescent="0.25">
      <c r="A235" t="s">
        <v>2291</v>
      </c>
      <c r="B235">
        <v>73463845757</v>
      </c>
      <c r="H235" t="s">
        <v>707</v>
      </c>
      <c r="I235" t="s">
        <v>707</v>
      </c>
      <c r="J235" t="s">
        <v>707</v>
      </c>
      <c r="L235">
        <v>75</v>
      </c>
      <c r="M235">
        <v>152.25</v>
      </c>
    </row>
    <row r="236" spans="1:13" x14ac:dyDescent="0.25">
      <c r="A236" t="s">
        <v>2296</v>
      </c>
      <c r="B236">
        <v>73470036843</v>
      </c>
      <c r="H236" t="s">
        <v>707</v>
      </c>
      <c r="I236" t="s">
        <v>707</v>
      </c>
      <c r="J236" t="s">
        <v>707</v>
      </c>
      <c r="K236" t="s">
        <v>707</v>
      </c>
      <c r="L236">
        <v>64</v>
      </c>
      <c r="M236">
        <v>154</v>
      </c>
    </row>
    <row r="237" spans="1:13" x14ac:dyDescent="0.25">
      <c r="A237" t="s">
        <v>2300</v>
      </c>
      <c r="B237">
        <v>73398612264</v>
      </c>
      <c r="I237" t="s">
        <v>707</v>
      </c>
      <c r="L237">
        <v>90</v>
      </c>
      <c r="M237">
        <v>184.5</v>
      </c>
    </row>
    <row r="238" spans="1:13" x14ac:dyDescent="0.25">
      <c r="A238" t="s">
        <v>2305</v>
      </c>
      <c r="B238">
        <v>73431940030</v>
      </c>
      <c r="H238" t="s">
        <v>707</v>
      </c>
      <c r="L238">
        <v>63</v>
      </c>
      <c r="M238">
        <v>144.84</v>
      </c>
    </row>
    <row r="239" spans="1:13" x14ac:dyDescent="0.25">
      <c r="A239" t="s">
        <v>2310</v>
      </c>
      <c r="B239">
        <v>73444461676</v>
      </c>
      <c r="H239" t="s">
        <v>707</v>
      </c>
      <c r="I239" t="s">
        <v>707</v>
      </c>
      <c r="J239" t="s">
        <v>707</v>
      </c>
      <c r="K239" t="s">
        <v>707</v>
      </c>
      <c r="L239">
        <v>78</v>
      </c>
      <c r="M239">
        <v>152.5</v>
      </c>
    </row>
    <row r="240" spans="1:13" x14ac:dyDescent="0.25">
      <c r="A240" t="s">
        <v>2314</v>
      </c>
      <c r="B240">
        <v>73402869117</v>
      </c>
      <c r="H240" t="s">
        <v>707</v>
      </c>
      <c r="I240" t="s">
        <v>707</v>
      </c>
      <c r="J240" t="s">
        <v>707</v>
      </c>
      <c r="K240" t="s">
        <v>707</v>
      </c>
      <c r="L240">
        <v>83</v>
      </c>
      <c r="M240">
        <v>175.75</v>
      </c>
    </row>
    <row r="241" spans="1:13" x14ac:dyDescent="0.25">
      <c r="A241" t="s">
        <v>2319</v>
      </c>
      <c r="B241">
        <v>73402870154</v>
      </c>
      <c r="H241" t="s">
        <v>707</v>
      </c>
      <c r="I241" t="s">
        <v>707</v>
      </c>
      <c r="J241" t="s">
        <v>707</v>
      </c>
      <c r="K241" t="s">
        <v>707</v>
      </c>
      <c r="L241">
        <v>81</v>
      </c>
      <c r="M241">
        <v>173.25</v>
      </c>
    </row>
    <row r="242" spans="1:13" x14ac:dyDescent="0.25">
      <c r="A242" t="s">
        <v>2322</v>
      </c>
      <c r="B242">
        <v>73418185042</v>
      </c>
      <c r="H242" t="s">
        <v>707</v>
      </c>
      <c r="I242" t="s">
        <v>707</v>
      </c>
      <c r="J242" t="s">
        <v>707</v>
      </c>
      <c r="K242" t="s">
        <v>707</v>
      </c>
      <c r="L242">
        <v>72</v>
      </c>
      <c r="M242">
        <v>147.09</v>
      </c>
    </row>
    <row r="243" spans="1:13" x14ac:dyDescent="0.25">
      <c r="A243" t="s">
        <v>2328</v>
      </c>
      <c r="B243">
        <v>73403215172</v>
      </c>
      <c r="H243" t="s">
        <v>707</v>
      </c>
      <c r="L243">
        <v>45</v>
      </c>
      <c r="M243">
        <v>78.98</v>
      </c>
    </row>
    <row r="244" spans="1:13" x14ac:dyDescent="0.25">
      <c r="A244" t="s">
        <v>2334</v>
      </c>
      <c r="B244">
        <v>73455804310</v>
      </c>
      <c r="H244" t="s">
        <v>707</v>
      </c>
      <c r="L244">
        <v>81</v>
      </c>
      <c r="M244">
        <v>147.80000000000001</v>
      </c>
    </row>
    <row r="245" spans="1:13" x14ac:dyDescent="0.25">
      <c r="A245" t="s">
        <v>2339</v>
      </c>
      <c r="B245">
        <v>73368090786</v>
      </c>
      <c r="H245" t="s">
        <v>707</v>
      </c>
      <c r="I245" t="s">
        <v>707</v>
      </c>
      <c r="K245" t="s">
        <v>707</v>
      </c>
      <c r="L245">
        <v>82</v>
      </c>
      <c r="M245">
        <v>160.5</v>
      </c>
    </row>
    <row r="246" spans="1:13" x14ac:dyDescent="0.25">
      <c r="A246" t="s">
        <v>2344</v>
      </c>
      <c r="B246">
        <v>73403341463</v>
      </c>
      <c r="H246" t="s">
        <v>707</v>
      </c>
      <c r="I246" t="s">
        <v>707</v>
      </c>
      <c r="J246" t="s">
        <v>707</v>
      </c>
      <c r="K246" t="s">
        <v>707</v>
      </c>
      <c r="L246">
        <v>60</v>
      </c>
      <c r="M246">
        <v>139</v>
      </c>
    </row>
    <row r="247" spans="1:13" x14ac:dyDescent="0.25">
      <c r="A247" t="s">
        <v>2348</v>
      </c>
      <c r="B247">
        <v>73403549050</v>
      </c>
      <c r="H247" t="s">
        <v>707</v>
      </c>
      <c r="I247" t="s">
        <v>707</v>
      </c>
      <c r="J247" t="s">
        <v>707</v>
      </c>
      <c r="K247" t="s">
        <v>707</v>
      </c>
      <c r="L247">
        <v>78</v>
      </c>
      <c r="M247">
        <v>161.5</v>
      </c>
    </row>
    <row r="248" spans="1:13" x14ac:dyDescent="0.25">
      <c r="A248" t="s">
        <v>2354</v>
      </c>
      <c r="B248">
        <v>73403556636</v>
      </c>
      <c r="H248" t="s">
        <v>707</v>
      </c>
      <c r="I248" t="s">
        <v>707</v>
      </c>
      <c r="J248" t="s">
        <v>707</v>
      </c>
      <c r="K248" t="s">
        <v>707</v>
      </c>
      <c r="L248">
        <v>70</v>
      </c>
      <c r="M248">
        <v>154.05000000000001</v>
      </c>
    </row>
    <row r="249" spans="1:13" x14ac:dyDescent="0.25">
      <c r="A249" t="s">
        <v>2357</v>
      </c>
      <c r="B249">
        <v>73515823299</v>
      </c>
      <c r="H249" t="s">
        <v>707</v>
      </c>
      <c r="L249">
        <v>84</v>
      </c>
      <c r="M249">
        <v>151</v>
      </c>
    </row>
    <row r="250" spans="1:13" x14ac:dyDescent="0.25">
      <c r="A250" t="s">
        <v>795</v>
      </c>
      <c r="B250">
        <v>73391114976</v>
      </c>
      <c r="H250" t="s">
        <v>707</v>
      </c>
      <c r="I250" t="s">
        <v>707</v>
      </c>
      <c r="J250" t="s">
        <v>707</v>
      </c>
      <c r="K250" t="s">
        <v>707</v>
      </c>
      <c r="L250">
        <v>77</v>
      </c>
      <c r="M250">
        <v>163.80000000000001</v>
      </c>
    </row>
    <row r="251" spans="1:13" x14ac:dyDescent="0.25">
      <c r="A251" t="s">
        <v>2819</v>
      </c>
      <c r="B251">
        <v>73397511964</v>
      </c>
      <c r="H251" t="s">
        <v>707</v>
      </c>
      <c r="I251" t="s">
        <v>707</v>
      </c>
      <c r="J251" t="s">
        <v>707</v>
      </c>
      <c r="K251" t="s">
        <v>707</v>
      </c>
      <c r="L251">
        <v>72</v>
      </c>
      <c r="M251">
        <v>164.5</v>
      </c>
    </row>
    <row r="252" spans="1:13" x14ac:dyDescent="0.25">
      <c r="A252" t="s">
        <v>2824</v>
      </c>
      <c r="B252">
        <v>73388017809</v>
      </c>
      <c r="K252" t="s">
        <v>707</v>
      </c>
      <c r="L252">
        <v>60</v>
      </c>
      <c r="M252">
        <v>126</v>
      </c>
    </row>
    <row r="253" spans="1:13" x14ac:dyDescent="0.25">
      <c r="A253" t="s">
        <v>1053</v>
      </c>
      <c r="D253">
        <f>SUBTOTAL(103,rangsor[felvesz])</f>
        <v>3</v>
      </c>
      <c r="E253">
        <f>SUBTOTAL(103,rangsor[mastvalaszt])</f>
        <v>1</v>
      </c>
      <c r="F253">
        <f>SUBTOTAL(103,rangsor[elut])</f>
        <v>1</v>
      </c>
      <c r="G253">
        <f>SUBTOTAL(103,rangsor[visszalepett])</f>
        <v>1</v>
      </c>
    </row>
  </sheetData>
  <conditionalFormatting sqref="C2:C252">
    <cfRule type="cellIs" dxfId="62" priority="2" operator="equal">
      <formula>2000</formula>
    </cfRule>
    <cfRule type="cellIs" dxfId="61" priority="3" operator="equal">
      <formula>4000</formula>
    </cfRule>
    <cfRule type="cellIs" dxfId="60" priority="4" operator="equal">
      <formula>1000</formula>
    </cfRule>
  </conditionalFormatting>
  <conditionalFormatting sqref="C2:D252">
    <cfRule type="cellIs" dxfId="59" priority="1" operator="equal">
      <formula>3000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1EC5-505E-4570-9DC1-FD2530E63F34}">
  <sheetPr codeName="Munka2"/>
  <dimension ref="B1:AJ21"/>
  <sheetViews>
    <sheetView zoomScaleNormal="100" workbookViewId="0">
      <selection activeCell="AB2" sqref="AB2"/>
    </sheetView>
  </sheetViews>
  <sheetFormatPr defaultRowHeight="15" x14ac:dyDescent="0.25"/>
  <cols>
    <col min="2" max="2" width="19.5703125" customWidth="1"/>
    <col min="3" max="3" width="22.85546875" customWidth="1"/>
    <col min="4" max="4" width="8.28515625" bestFit="1" customWidth="1"/>
    <col min="5" max="5" width="39.5703125" customWidth="1"/>
    <col min="6" max="6" width="9.85546875" bestFit="1" customWidth="1"/>
    <col min="7" max="7" width="12.85546875" bestFit="1" customWidth="1"/>
    <col min="8" max="8" width="18" bestFit="1" customWidth="1"/>
    <col min="9" max="9" width="31.42578125" bestFit="1" customWidth="1"/>
    <col min="10" max="10" width="19.85546875" bestFit="1" customWidth="1"/>
    <col min="11" max="11" width="18.5703125" bestFit="1" customWidth="1"/>
    <col min="12" max="12" width="19.42578125" customWidth="1"/>
    <col min="13" max="13" width="9.5703125" bestFit="1" customWidth="1"/>
    <col min="14" max="14" width="7.42578125" bestFit="1" customWidth="1"/>
    <col min="15" max="16" width="8" bestFit="1" customWidth="1"/>
    <col min="17" max="17" width="14.5703125" bestFit="1" customWidth="1"/>
    <col min="18" max="18" width="16.85546875" bestFit="1" customWidth="1"/>
    <col min="19" max="19" width="15" customWidth="1"/>
    <col min="20" max="20" width="10.42578125" customWidth="1"/>
    <col min="21" max="21" width="11.140625" customWidth="1"/>
    <col min="22" max="22" width="10.42578125" customWidth="1"/>
    <col min="23" max="23" width="163.42578125" bestFit="1" customWidth="1"/>
    <col min="24" max="24" width="175.42578125" bestFit="1" customWidth="1"/>
    <col min="25" max="25" width="9.140625" bestFit="1" customWidth="1"/>
    <col min="26" max="26" width="10.42578125" bestFit="1" customWidth="1"/>
    <col min="27" max="27" width="30" customWidth="1"/>
    <col min="28" max="28" width="11.42578125" customWidth="1"/>
    <col min="29" max="29" width="11" bestFit="1" customWidth="1"/>
    <col min="30" max="30" width="86.5703125" bestFit="1" customWidth="1"/>
    <col min="31" max="31" width="73.42578125" bestFit="1" customWidth="1"/>
    <col min="32" max="32" width="12.42578125" bestFit="1" customWidth="1"/>
    <col min="33" max="33" width="10.5703125" bestFit="1" customWidth="1"/>
  </cols>
  <sheetData>
    <row r="1" spans="2:36" ht="26.25" customHeight="1" x14ac:dyDescent="0.25">
      <c r="B1" s="1" t="s">
        <v>0</v>
      </c>
      <c r="D1" s="2" t="s">
        <v>2897</v>
      </c>
      <c r="E1" s="2" t="s">
        <v>1050</v>
      </c>
      <c r="F1" s="2" t="s">
        <v>1054</v>
      </c>
      <c r="G1" s="2" t="s">
        <v>1055</v>
      </c>
      <c r="H1" s="2" t="s">
        <v>673</v>
      </c>
      <c r="I1" s="2" t="s">
        <v>1056</v>
      </c>
      <c r="J1" s="2" t="s">
        <v>1057</v>
      </c>
      <c r="K1" s="2" t="s">
        <v>1058</v>
      </c>
      <c r="L1" s="2" t="s">
        <v>1059</v>
      </c>
      <c r="M1" s="2" t="s">
        <v>1060</v>
      </c>
      <c r="N1" s="2" t="s">
        <v>1051</v>
      </c>
      <c r="O1" s="2" t="s">
        <v>1061</v>
      </c>
      <c r="P1" s="2" t="s">
        <v>1062</v>
      </c>
      <c r="Q1" s="2" t="s">
        <v>1063</v>
      </c>
      <c r="R1" s="2" t="s">
        <v>1064</v>
      </c>
      <c r="S1" s="2" t="s">
        <v>1065</v>
      </c>
      <c r="T1" s="2" t="s">
        <v>1066</v>
      </c>
      <c r="U1" s="2" t="s">
        <v>10</v>
      </c>
      <c r="V1" s="2" t="s">
        <v>12</v>
      </c>
      <c r="W1" s="2" t="s">
        <v>11</v>
      </c>
      <c r="X1" s="2" t="s">
        <v>1067</v>
      </c>
      <c r="Y1" s="2" t="s">
        <v>1068</v>
      </c>
      <c r="Z1" s="2" t="s">
        <v>1069</v>
      </c>
      <c r="AA1" s="2" t="s">
        <v>1070</v>
      </c>
      <c r="AB1" s="2" t="s">
        <v>668</v>
      </c>
      <c r="AC1" s="2" t="s">
        <v>1071</v>
      </c>
      <c r="AD1" s="2" t="s">
        <v>1072</v>
      </c>
      <c r="AE1" s="2" t="s">
        <v>705</v>
      </c>
      <c r="AF1" s="2" t="s">
        <v>1073</v>
      </c>
      <c r="AG1" s="2" t="s">
        <v>1074</v>
      </c>
      <c r="AH1" s="2" t="s">
        <v>1075</v>
      </c>
      <c r="AI1" s="2" t="s">
        <v>1076</v>
      </c>
      <c r="AJ1" s="2" t="s">
        <v>1077</v>
      </c>
    </row>
    <row r="2" spans="2:36" x14ac:dyDescent="0.25">
      <c r="D2" cm="1">
        <f t="array" ref="D2">ROW()-ROW(lista[#Headers])</f>
        <v>1</v>
      </c>
      <c r="E2" t="str" cm="1">
        <f t="array" ref="E2">SzuressNev($B$1,lista[[#This Row],[idx]])</f>
        <v>Balázs Bodza Zsóka</v>
      </c>
      <c r="F2">
        <f>COUNTIF($E$2:E2,E2)</f>
        <v>1</v>
      </c>
      <c r="G2" t="str" cm="1">
        <f t="array" ref="G2">SzuressOk($B$1,lista[[#This Row],[idx]])</f>
        <v>1000</v>
      </c>
      <c r="H2" t="str" cm="1">
        <f t="array" ref="H2">SzuressOktazon($B$1,lista[[#This Row],[idx]])</f>
        <v>73403951239</v>
      </c>
      <c r="I2" t="s">
        <v>1175</v>
      </c>
      <c r="J2" t="s">
        <v>1176</v>
      </c>
      <c r="K2" t="s">
        <v>1096</v>
      </c>
      <c r="L2" s="18">
        <v>42364</v>
      </c>
      <c r="M2">
        <v>133</v>
      </c>
      <c r="Q2" t="s">
        <v>805</v>
      </c>
      <c r="R2" t="str" cm="1">
        <f t="array" ref="R2">Határozat(E2)</f>
        <v>nem nyert felvételt</v>
      </c>
      <c r="S2" t="s">
        <v>3391</v>
      </c>
      <c r="AC2">
        <f>COUNTIF($Z$2:$Z$21,Z2)</f>
        <v>0</v>
      </c>
      <c r="AD2" t="str" cm="1">
        <f t="array" ref="AD2">ElsoBetuNagy(O2)</f>
        <v/>
      </c>
      <c r="AE2" t="s">
        <v>2902</v>
      </c>
      <c r="AF2" t="s">
        <v>1078</v>
      </c>
      <c r="AG2" t="e" cm="1">
        <f t="array" aca="1" ref="AG2" ca="1">DatumSzovegge5(AF2)</f>
        <v>#NAME?</v>
      </c>
      <c r="AH2" t="e" cm="1">
        <f t="array" aca="1" ref="AH2" ca="1">DatumSzovegge3(AF2)</f>
        <v>#NAME?</v>
      </c>
      <c r="AI2" t="e" cm="1">
        <f t="array" aca="1" ref="AI2" ca="1">DatumSzovegge4(AF2)</f>
        <v>#NAME?</v>
      </c>
      <c r="AJ2" t="s">
        <v>872</v>
      </c>
    </row>
    <row r="3" spans="2:36" x14ac:dyDescent="0.25">
      <c r="D3" cm="1">
        <f t="array" ref="D3">ROW()-ROW(lista[#Headers])</f>
        <v>2</v>
      </c>
      <c r="E3" t="str" cm="1">
        <f t="array" ref="E3">SzuressNev($B$1,lista[[#This Row],[idx]])</f>
        <v>Balázs Bodza Zsóka</v>
      </c>
      <c r="F3">
        <f>COUNTIF($E$2:E3,E3)</f>
        <v>2</v>
      </c>
      <c r="G3" t="str" cm="1">
        <f t="array" ref="G3">SzuressOk($B$1,lista[[#This Row],[idx]])</f>
        <v>2000</v>
      </c>
      <c r="H3" t="str" cm="1">
        <f t="array" ref="H3">SzuressOktazon($B$1,lista[[#This Row],[idx]])</f>
        <v>73403951239</v>
      </c>
      <c r="I3" t="s">
        <v>1175</v>
      </c>
      <c r="J3" t="s">
        <v>1176</v>
      </c>
      <c r="K3" t="s">
        <v>1096</v>
      </c>
      <c r="L3" s="18">
        <v>42364</v>
      </c>
      <c r="M3">
        <v>133</v>
      </c>
      <c r="Q3" t="s">
        <v>805</v>
      </c>
      <c r="R3" t="str" cm="1">
        <f t="array" ref="R3">Határozat(E3)</f>
        <v>nem nyert felvételt</v>
      </c>
      <c r="S3" t="s">
        <v>3392</v>
      </c>
      <c r="AC3">
        <f>COUNTIF($Z$2:$Z$21,Z3)</f>
        <v>0</v>
      </c>
      <c r="AD3" t="str" cm="1">
        <f t="array" ref="AD3">ElsoBetuNagy(O3)</f>
        <v/>
      </c>
      <c r="AE3" t="s">
        <v>2902</v>
      </c>
      <c r="AF3" t="s">
        <v>1078</v>
      </c>
      <c r="AG3" t="e" cm="1">
        <f t="array" aca="1" ref="AG3" ca="1">DatumSzovegge5(AF3)</f>
        <v>#NAME?</v>
      </c>
      <c r="AH3" t="e" cm="1">
        <f t="array" aca="1" ref="AH3" ca="1">DatumSzovegge3(AF3)</f>
        <v>#NAME?</v>
      </c>
      <c r="AI3" t="e" cm="1">
        <f t="array" aca="1" ref="AI3" ca="1">DatumSzovegge4(AF3)</f>
        <v>#NAME?</v>
      </c>
      <c r="AJ3" t="s">
        <v>872</v>
      </c>
    </row>
    <row r="4" spans="2:36" x14ac:dyDescent="0.25">
      <c r="D4" cm="1">
        <f t="array" ref="D4">ROW()-ROW(lista[#Headers])</f>
        <v>3</v>
      </c>
      <c r="E4" t="str" cm="1">
        <f t="array" ref="E4">SzuressNev($B$1,lista[[#This Row],[idx]])</f>
        <v>Balázs Bodza Zsóka</v>
      </c>
      <c r="F4">
        <f>COUNTIF($E$2:E4,E4)</f>
        <v>3</v>
      </c>
      <c r="G4" t="str" cm="1">
        <f t="array" ref="G4">SzuressOk($B$1,lista[[#This Row],[idx]])</f>
        <v>3000</v>
      </c>
      <c r="H4" t="str" cm="1">
        <f t="array" ref="H4">SzuressOktazon($B$1,lista[[#This Row],[idx]])</f>
        <v>73403951239</v>
      </c>
      <c r="I4" t="s">
        <v>1175</v>
      </c>
      <c r="J4" t="s">
        <v>1176</v>
      </c>
      <c r="K4" t="s">
        <v>1096</v>
      </c>
      <c r="L4" s="18">
        <v>42364</v>
      </c>
      <c r="M4">
        <v>133</v>
      </c>
      <c r="Q4" t="s">
        <v>805</v>
      </c>
      <c r="R4" t="str" cm="1">
        <f t="array" ref="R4">Határozat(E4)</f>
        <v>nem nyert felvételt</v>
      </c>
      <c r="S4" t="s">
        <v>3393</v>
      </c>
      <c r="AE4" t="s">
        <v>2902</v>
      </c>
      <c r="AF4" t="s">
        <v>1078</v>
      </c>
      <c r="AG4" t="e" cm="1">
        <f t="array" aca="1" ref="AG4" ca="1">DatumSzovegge5(AF4)</f>
        <v>#NAME?</v>
      </c>
      <c r="AH4" t="e" cm="1">
        <f t="array" aca="1" ref="AH4" ca="1">DatumSzovegge3(AF4)</f>
        <v>#NAME?</v>
      </c>
      <c r="AI4" t="e" cm="1">
        <f t="array" aca="1" ref="AI4" ca="1">DatumSzovegge4(AF4)</f>
        <v>#NAME?</v>
      </c>
      <c r="AJ4" t="s">
        <v>872</v>
      </c>
    </row>
    <row r="5" spans="2:36" x14ac:dyDescent="0.25">
      <c r="D5" cm="1">
        <f t="array" ref="D5">ROW()-ROW(lista[#Headers])</f>
        <v>4</v>
      </c>
      <c r="E5" t="str" cm="1">
        <f t="array" ref="E5">SzuressNev($B$1,lista[[#This Row],[idx]])</f>
        <v>Balázs Bodza Zsóka</v>
      </c>
      <c r="F5">
        <f>COUNTIF($E$2:E5,E5)</f>
        <v>4</v>
      </c>
      <c r="G5" t="str" cm="1">
        <f t="array" ref="G5">SzuressOk($B$1,lista[[#This Row],[idx]])</f>
        <v>4000</v>
      </c>
      <c r="H5" t="str" cm="1">
        <f t="array" ref="H5">SzuressOktazon($B$1,lista[[#This Row],[idx]])</f>
        <v>73403951239</v>
      </c>
      <c r="I5" t="s">
        <v>1175</v>
      </c>
      <c r="J5" t="s">
        <v>1176</v>
      </c>
      <c r="K5" t="s">
        <v>1096</v>
      </c>
      <c r="L5" s="18">
        <v>42364</v>
      </c>
      <c r="M5">
        <v>133</v>
      </c>
      <c r="Q5" t="s">
        <v>805</v>
      </c>
      <c r="R5" t="str" cm="1">
        <f t="array" ref="R5">Határozat(E5)</f>
        <v>nem nyert felvételt</v>
      </c>
      <c r="S5" t="s">
        <v>3394</v>
      </c>
      <c r="AE5" t="s">
        <v>2902</v>
      </c>
      <c r="AF5" t="s">
        <v>1078</v>
      </c>
      <c r="AG5" t="e" cm="1">
        <f t="array" aca="1" ref="AG5" ca="1">DatumSzovegge5(AF5)</f>
        <v>#NAME?</v>
      </c>
      <c r="AH5" t="e" cm="1">
        <f t="array" aca="1" ref="AH5" ca="1">DatumSzovegge3(AF5)</f>
        <v>#NAME?</v>
      </c>
      <c r="AI5" t="e" cm="1">
        <f t="array" aca="1" ref="AI5" ca="1">DatumSzovegge4(AF5)</f>
        <v>#NAME?</v>
      </c>
      <c r="AJ5" t="s">
        <v>872</v>
      </c>
    </row>
    <row r="6" spans="2:36" x14ac:dyDescent="0.25">
      <c r="D6" cm="1">
        <f t="array" ref="D6">ROW()-ROW(lista[#Headers])</f>
        <v>5</v>
      </c>
      <c r="E6" t="str" cm="1">
        <f t="array" ref="E6">SzuressNev($B$1,lista[[#This Row],[idx]])</f>
        <v>Dolfini Mira Rose</v>
      </c>
      <c r="F6">
        <f>COUNTIF($E$2:E6,E6)</f>
        <v>1</v>
      </c>
      <c r="G6" t="str" cm="1">
        <f t="array" ref="G6">SzuressOk($B$1,lista[[#This Row],[idx]])</f>
        <v>kevéspont</v>
      </c>
      <c r="H6" t="str" cm="1">
        <f t="array" ref="H6">SzuressOktazon($B$1,lista[[#This Row],[idx]])</f>
        <v>73459569658</v>
      </c>
      <c r="I6" t="s">
        <v>1398</v>
      </c>
      <c r="J6" t="s">
        <v>1399</v>
      </c>
      <c r="K6" t="s">
        <v>1397</v>
      </c>
      <c r="L6" s="18">
        <v>42354</v>
      </c>
      <c r="M6">
        <v>121.05</v>
      </c>
      <c r="Q6" t="s">
        <v>805</v>
      </c>
      <c r="R6" t="str" cm="1">
        <f t="array" ref="R6">Határozat(E6)</f>
        <v>nem nyert felvételt</v>
      </c>
      <c r="S6" t="s">
        <v>54</v>
      </c>
      <c r="Z6" t="s">
        <v>1401</v>
      </c>
      <c r="AA6" t="s">
        <v>2841</v>
      </c>
      <c r="AE6" t="s">
        <v>2946</v>
      </c>
      <c r="AF6" t="s">
        <v>1078</v>
      </c>
      <c r="AG6" t="e" cm="1">
        <f t="array" aca="1" ref="AG6" ca="1">DatumSzovegge5(AF6)</f>
        <v>#NAME?</v>
      </c>
      <c r="AH6" t="e" cm="1">
        <f t="array" aca="1" ref="AH6" ca="1">DatumSzovegge3(AF6)</f>
        <v>#NAME?</v>
      </c>
      <c r="AI6" t="e" cm="1">
        <f t="array" aca="1" ref="AI6" ca="1">DatumSzovegge4(AF6)</f>
        <v>#NAME?</v>
      </c>
      <c r="AJ6" t="s">
        <v>872</v>
      </c>
    </row>
    <row r="7" spans="2:36" x14ac:dyDescent="0.25">
      <c r="D7" cm="1">
        <f t="array" ref="D7">ROW()-ROW(lista[#Headers])</f>
        <v>6</v>
      </c>
      <c r="E7" t="str" cm="1">
        <f t="array" ref="E7">SzuressNev($B$1,lista[[#This Row],[idx]])</f>
        <v>Hauck Eliza</v>
      </c>
      <c r="F7">
        <f>COUNTIF($E$2:E7,E7)</f>
        <v>1</v>
      </c>
      <c r="G7" t="str" cm="1">
        <f t="array" ref="G7">SzuressOk($B$1,lista[[#This Row],[idx]])</f>
        <v>kevéspont</v>
      </c>
      <c r="H7" t="str" cm="1">
        <f t="array" ref="H7">SzuressOktazon($B$1,lista[[#This Row],[idx]])</f>
        <v>73440326691</v>
      </c>
      <c r="I7" t="s">
        <v>1520</v>
      </c>
      <c r="J7" t="s">
        <v>1521</v>
      </c>
      <c r="K7" t="s">
        <v>1096</v>
      </c>
      <c r="L7" s="18">
        <v>42503</v>
      </c>
      <c r="M7">
        <v>81.48</v>
      </c>
      <c r="Q7" t="s">
        <v>805</v>
      </c>
      <c r="R7" t="str" cm="1">
        <f t="array" ref="R7">Határozat(E7)</f>
        <v>nem nyert felvételt</v>
      </c>
      <c r="S7" t="s">
        <v>54</v>
      </c>
      <c r="AE7" t="s">
        <v>2972</v>
      </c>
      <c r="AF7" t="s">
        <v>1078</v>
      </c>
      <c r="AG7" t="e" cm="1">
        <f t="array" aca="1" ref="AG7" ca="1">DatumSzovegge5(AF7)</f>
        <v>#NAME?</v>
      </c>
      <c r="AH7" t="e" cm="1">
        <f t="array" aca="1" ref="AH7" ca="1">DatumSzovegge3(AF7)</f>
        <v>#NAME?</v>
      </c>
      <c r="AI7" t="e" cm="1">
        <f t="array" aca="1" ref="AI7" ca="1">DatumSzovegge4(AF7)</f>
        <v>#NAME?</v>
      </c>
      <c r="AJ7" t="s">
        <v>872</v>
      </c>
    </row>
    <row r="8" spans="2:36" x14ac:dyDescent="0.25">
      <c r="D8" cm="1">
        <f t="array" ref="D8">ROW()-ROW(lista[#Headers])</f>
        <v>7</v>
      </c>
      <c r="E8" t="str" cm="1">
        <f t="array" ref="E8">SzuressNev($B$1,lista[[#This Row],[idx]])</f>
        <v>Heitmann Martin Johann</v>
      </c>
      <c r="F8">
        <f>COUNTIF($E$2:E8,E8)</f>
        <v>1</v>
      </c>
      <c r="G8" t="str" cm="1">
        <f t="array" ref="G8">SzuressOk($B$1,lista[[#This Row],[idx]])</f>
        <v>kevéspont</v>
      </c>
      <c r="H8" t="str" cm="1">
        <f t="array" ref="H8">SzuressOktazon($B$1,lista[[#This Row],[idx]])</f>
        <v>73366957487</v>
      </c>
      <c r="I8" t="s">
        <v>1545</v>
      </c>
      <c r="J8" t="s">
        <v>1546</v>
      </c>
      <c r="K8" t="s">
        <v>1347</v>
      </c>
      <c r="L8" s="18">
        <v>41895</v>
      </c>
      <c r="M8">
        <v>135.5</v>
      </c>
      <c r="Q8" t="s">
        <v>805</v>
      </c>
      <c r="R8" t="str" cm="1">
        <f t="array" ref="R8">Határozat(E8)</f>
        <v>nem nyert felvételt</v>
      </c>
      <c r="S8" t="s">
        <v>54</v>
      </c>
      <c r="Z8" t="s">
        <v>158</v>
      </c>
      <c r="AA8" t="s">
        <v>160</v>
      </c>
      <c r="AE8" t="s">
        <v>2978</v>
      </c>
      <c r="AF8" t="s">
        <v>1078</v>
      </c>
      <c r="AG8" t="e" cm="1">
        <f t="array" aca="1" ref="AG8" ca="1">DatumSzovegge5(AF8)</f>
        <v>#NAME?</v>
      </c>
      <c r="AH8" t="e" cm="1">
        <f t="array" aca="1" ref="AH8" ca="1">DatumSzovegge3(AF8)</f>
        <v>#NAME?</v>
      </c>
      <c r="AI8" t="e" cm="1">
        <f t="array" aca="1" ref="AI8" ca="1">DatumSzovegge4(AF8)</f>
        <v>#NAME?</v>
      </c>
      <c r="AJ8" t="s">
        <v>872</v>
      </c>
    </row>
    <row r="9" spans="2:36" x14ac:dyDescent="0.25">
      <c r="D9" cm="1">
        <f t="array" ref="D9">ROW()-ROW(lista[#Headers])</f>
        <v>8</v>
      </c>
      <c r="E9" t="str" cm="1">
        <f t="array" ref="E9">SzuressNev($B$1,lista[[#This Row],[idx]])</f>
        <v>Horváth Máté Huba</v>
      </c>
      <c r="F9">
        <f>COUNTIF($E$2:E9,E9)</f>
        <v>1</v>
      </c>
      <c r="G9" t="str" cm="1">
        <f t="array" ref="G9">SzuressOk($B$1,lista[[#This Row],[idx]])</f>
        <v>kevéspont</v>
      </c>
      <c r="H9" t="str" cm="1">
        <f t="array" ref="H9">SzuressOktazon($B$1,lista[[#This Row],[idx]])</f>
        <v>73392983265</v>
      </c>
      <c r="I9" t="s">
        <v>1565</v>
      </c>
      <c r="J9" t="s">
        <v>1566</v>
      </c>
      <c r="K9" t="s">
        <v>1100</v>
      </c>
      <c r="L9" s="18">
        <v>42226</v>
      </c>
      <c r="M9">
        <v>25</v>
      </c>
      <c r="Q9" t="s">
        <v>805</v>
      </c>
      <c r="R9" t="str" cm="1">
        <f t="array" ref="R9">Határozat(E9)</f>
        <v>nem nyert felvételt</v>
      </c>
      <c r="S9" t="s">
        <v>54</v>
      </c>
      <c r="AE9" t="s">
        <v>2982</v>
      </c>
      <c r="AF9" t="s">
        <v>1078</v>
      </c>
      <c r="AG9" t="e" cm="1">
        <f t="array" aca="1" ref="AG9" ca="1">DatumSzovegge5(AF9)</f>
        <v>#NAME?</v>
      </c>
      <c r="AH9" t="e" cm="1">
        <f t="array" aca="1" ref="AH9" ca="1">DatumSzovegge3(AF9)</f>
        <v>#NAME?</v>
      </c>
      <c r="AI9" t="e" cm="1">
        <f t="array" aca="1" ref="AI9" ca="1">DatumSzovegge4(AF9)</f>
        <v>#NAME?</v>
      </c>
      <c r="AJ9" t="s">
        <v>872</v>
      </c>
    </row>
    <row r="10" spans="2:36" x14ac:dyDescent="0.25">
      <c r="D10" cm="1">
        <f t="array" ref="D10">ROW()-ROW(lista[#Headers])</f>
        <v>9</v>
      </c>
      <c r="E10" t="str" cm="1">
        <f t="array" ref="E10">SzuressNev($B$1,lista[[#This Row],[idx]])</f>
        <v>Kalaus Vilmos Leó</v>
      </c>
      <c r="F10">
        <f>COUNTIF($E$2:E10,E10)</f>
        <v>1</v>
      </c>
      <c r="G10" t="str" cm="1">
        <f t="array" ref="G10">SzuressOk($B$1,lista[[#This Row],[idx]])</f>
        <v>kevéspont</v>
      </c>
      <c r="H10" t="str" cm="1">
        <f t="array" ref="H10">SzuressOktazon($B$1,lista[[#This Row],[idx]])</f>
        <v>73467865640</v>
      </c>
      <c r="I10" t="s">
        <v>1601</v>
      </c>
      <c r="J10" t="s">
        <v>1602</v>
      </c>
      <c r="K10" t="s">
        <v>1097</v>
      </c>
      <c r="L10" s="18">
        <v>42388</v>
      </c>
      <c r="M10">
        <v>117</v>
      </c>
      <c r="Q10" t="s">
        <v>805</v>
      </c>
      <c r="R10" t="str" cm="1">
        <f t="array" ref="R10">Határozat(E10)</f>
        <v>nem nyert felvételt</v>
      </c>
      <c r="S10" t="s">
        <v>54</v>
      </c>
      <c r="Z10" t="s">
        <v>118</v>
      </c>
      <c r="AA10" t="s">
        <v>120</v>
      </c>
      <c r="AE10" t="s">
        <v>2989</v>
      </c>
      <c r="AF10" t="s">
        <v>1078</v>
      </c>
      <c r="AG10" t="e" cm="1">
        <f t="array" aca="1" ref="AG10" ca="1">DatumSzovegge5(AF10)</f>
        <v>#NAME?</v>
      </c>
      <c r="AH10" t="e" cm="1">
        <f t="array" aca="1" ref="AH10" ca="1">DatumSzovegge3(AF10)</f>
        <v>#NAME?</v>
      </c>
      <c r="AI10" t="e" cm="1">
        <f t="array" aca="1" ref="AI10" ca="1">DatumSzovegge4(AF10)</f>
        <v>#NAME?</v>
      </c>
      <c r="AJ10" t="s">
        <v>872</v>
      </c>
    </row>
    <row r="11" spans="2:36" x14ac:dyDescent="0.25">
      <c r="D11" cm="1">
        <f t="array" ref="D11">ROW()-ROW(lista[#Headers])</f>
        <v>10</v>
      </c>
      <c r="E11" t="str" cm="1">
        <f t="array" ref="E11">SzuressNev($B$1,lista[[#This Row],[idx]])</f>
        <v>Kovács Móric</v>
      </c>
      <c r="F11">
        <f>COUNTIF($E$2:E11,E11)</f>
        <v>1</v>
      </c>
      <c r="G11" t="str" cm="1">
        <f t="array" ref="G11">SzuressOk($B$1,lista[[#This Row],[idx]])</f>
        <v>kevéspont</v>
      </c>
      <c r="H11" t="str" cm="1">
        <f t="array" ref="H11">SzuressOktazon($B$1,lista[[#This Row],[idx]])</f>
        <v>73445841885</v>
      </c>
      <c r="I11" t="s">
        <v>1699</v>
      </c>
      <c r="J11" t="s">
        <v>1700</v>
      </c>
      <c r="K11" t="s">
        <v>1098</v>
      </c>
      <c r="L11" s="18">
        <v>42376</v>
      </c>
      <c r="M11">
        <v>25</v>
      </c>
      <c r="Q11" t="s">
        <v>805</v>
      </c>
      <c r="R11" t="str" cm="1">
        <f t="array" ref="R11">Határozat(E11)</f>
        <v>nem nyert felvételt</v>
      </c>
      <c r="S11" t="s">
        <v>54</v>
      </c>
      <c r="Z11" t="s">
        <v>354</v>
      </c>
      <c r="AA11" t="s">
        <v>356</v>
      </c>
      <c r="AE11" t="s">
        <v>3010</v>
      </c>
      <c r="AF11" t="s">
        <v>1078</v>
      </c>
      <c r="AG11" t="e" cm="1">
        <f t="array" aca="1" ref="AG11" ca="1">DatumSzovegge5(AF11)</f>
        <v>#NAME?</v>
      </c>
      <c r="AH11" t="e" cm="1">
        <f t="array" aca="1" ref="AH11" ca="1">DatumSzovegge3(AF11)</f>
        <v>#NAME?</v>
      </c>
      <c r="AI11" t="e" cm="1">
        <f t="array" aca="1" ref="AI11" ca="1">DatumSzovegge4(AF11)</f>
        <v>#NAME?</v>
      </c>
      <c r="AJ11" t="s">
        <v>872</v>
      </c>
    </row>
    <row r="12" spans="2:36" x14ac:dyDescent="0.25">
      <c r="D12" cm="1">
        <f t="array" ref="D12">ROW()-ROW(lista[#Headers])</f>
        <v>11</v>
      </c>
      <c r="E12" t="str" cm="1">
        <f t="array" ref="E12">SzuressNev($B$1,lista[[#This Row],[idx]])</f>
        <v>Kozma Ajnácska Liliom</v>
      </c>
      <c r="F12">
        <f>COUNTIF($E$2:E12,E12)</f>
        <v>1</v>
      </c>
      <c r="G12" t="str" cm="1">
        <f t="array" ref="G12">SzuressOk($B$1,lista[[#This Row],[idx]])</f>
        <v>kevéspont</v>
      </c>
      <c r="H12" t="str" cm="1">
        <f t="array" ref="H12">SzuressOktazon($B$1,lista[[#This Row],[idx]])</f>
        <v>73479398119</v>
      </c>
      <c r="I12" t="s">
        <v>1713</v>
      </c>
      <c r="J12" t="s">
        <v>1714</v>
      </c>
      <c r="K12" t="s">
        <v>1712</v>
      </c>
      <c r="L12" s="18">
        <v>42519</v>
      </c>
      <c r="M12">
        <v>129.25</v>
      </c>
      <c r="Q12" t="s">
        <v>805</v>
      </c>
      <c r="R12" t="str" cm="1">
        <f t="array" ref="R12">Határozat(E12)</f>
        <v>nem nyert felvételt</v>
      </c>
      <c r="S12" t="s">
        <v>54</v>
      </c>
      <c r="Z12" t="s">
        <v>1717</v>
      </c>
      <c r="AA12" t="s">
        <v>2843</v>
      </c>
      <c r="AE12" t="s">
        <v>3013</v>
      </c>
      <c r="AF12" t="s">
        <v>1078</v>
      </c>
      <c r="AG12" t="e" cm="1">
        <f t="array" aca="1" ref="AG12" ca="1">DatumSzovegge5(AF12)</f>
        <v>#NAME?</v>
      </c>
      <c r="AH12" t="e" cm="1">
        <f t="array" aca="1" ref="AH12" ca="1">DatumSzovegge3(AF12)</f>
        <v>#NAME?</v>
      </c>
      <c r="AI12" t="e" cm="1">
        <f t="array" aca="1" ref="AI12" ca="1">DatumSzovegge4(AF12)</f>
        <v>#NAME?</v>
      </c>
      <c r="AJ12" t="s">
        <v>872</v>
      </c>
    </row>
    <row r="13" spans="2:36" x14ac:dyDescent="0.25">
      <c r="D13" cm="1">
        <f t="array" ref="D13">ROW()-ROW(lista[#Headers])</f>
        <v>12</v>
      </c>
      <c r="E13" t="str" cm="1">
        <f t="array" ref="E13">SzuressNev($B$1,lista[[#This Row],[idx]])</f>
        <v>Kunfalvi Mira Zsófia</v>
      </c>
      <c r="F13">
        <f>COUNTIF($E$2:E13,E13)</f>
        <v>1</v>
      </c>
      <c r="G13" t="str" cm="1">
        <f t="array" ref="G13">SzuressOk($B$1,lista[[#This Row],[idx]])</f>
        <v>kevéspont</v>
      </c>
      <c r="H13" t="str" cm="1">
        <f t="array" ref="H13">SzuressOktazon($B$1,lista[[#This Row],[idx]])</f>
        <v>73421145639</v>
      </c>
      <c r="I13" t="s">
        <v>1734</v>
      </c>
      <c r="J13" t="s">
        <v>1735</v>
      </c>
      <c r="K13" t="s">
        <v>1101</v>
      </c>
      <c r="L13" s="18">
        <v>42433</v>
      </c>
      <c r="M13">
        <v>83.08</v>
      </c>
      <c r="Q13" t="s">
        <v>805</v>
      </c>
      <c r="R13" t="str" cm="1">
        <f t="array" ref="R13">Határozat(E13)</f>
        <v>nem nyert felvételt</v>
      </c>
      <c r="S13" t="s">
        <v>54</v>
      </c>
      <c r="Z13" t="s">
        <v>141</v>
      </c>
      <c r="AA13" t="s">
        <v>143</v>
      </c>
      <c r="AE13" t="s">
        <v>3017</v>
      </c>
      <c r="AF13" t="s">
        <v>1078</v>
      </c>
      <c r="AG13" t="e" cm="1">
        <f t="array" aca="1" ref="AG13" ca="1">DatumSzovegge5(AF13)</f>
        <v>#NAME?</v>
      </c>
      <c r="AH13" t="e" cm="1">
        <f t="array" aca="1" ref="AH13" ca="1">DatumSzovegge3(AF13)</f>
        <v>#NAME?</v>
      </c>
      <c r="AI13" t="e" cm="1">
        <f t="array" aca="1" ref="AI13" ca="1">DatumSzovegge4(AF13)</f>
        <v>#NAME?</v>
      </c>
      <c r="AJ13" t="s">
        <v>872</v>
      </c>
    </row>
    <row r="14" spans="2:36" x14ac:dyDescent="0.25">
      <c r="D14" cm="1">
        <f t="array" ref="D14">ROW()-ROW(lista[#Headers])</f>
        <v>13</v>
      </c>
      <c r="E14" t="str" cm="1">
        <f t="array" ref="E14">SzuressNev($B$1,lista[[#This Row],[idx]])</f>
        <v>Liu Sihan</v>
      </c>
      <c r="F14">
        <f>COUNTIF($E$2:E14,E14)</f>
        <v>1</v>
      </c>
      <c r="G14" t="str" cm="1">
        <f t="array" ref="G14">SzuressOk($B$1,lista[[#This Row],[idx]])</f>
        <v>kevéspont</v>
      </c>
      <c r="H14" t="str" cm="1">
        <f t="array" ref="H14">SzuressOktazon($B$1,lista[[#This Row],[idx]])</f>
        <v>74503209492</v>
      </c>
      <c r="I14" t="s">
        <v>1757</v>
      </c>
      <c r="J14" t="s">
        <v>1758</v>
      </c>
      <c r="K14" t="s">
        <v>1756</v>
      </c>
      <c r="L14" s="18">
        <v>41827</v>
      </c>
      <c r="M14">
        <v>86.59</v>
      </c>
      <c r="Q14" t="s">
        <v>805</v>
      </c>
      <c r="R14" t="str" cm="1">
        <f t="array" ref="R14">Határozat(E14)</f>
        <v>nem nyert felvételt</v>
      </c>
      <c r="S14" t="s">
        <v>54</v>
      </c>
      <c r="Z14" t="s">
        <v>1401</v>
      </c>
      <c r="AA14" t="s">
        <v>2841</v>
      </c>
      <c r="AE14" t="s">
        <v>3022</v>
      </c>
      <c r="AF14" t="s">
        <v>1078</v>
      </c>
      <c r="AG14" t="e" cm="1">
        <f t="array" aca="1" ref="AG14" ca="1">DatumSzovegge5(AF14)</f>
        <v>#NAME?</v>
      </c>
      <c r="AH14" t="e" cm="1">
        <f t="array" aca="1" ref="AH14" ca="1">DatumSzovegge3(AF14)</f>
        <v>#NAME?</v>
      </c>
      <c r="AI14" t="e" cm="1">
        <f t="array" aca="1" ref="AI14" ca="1">DatumSzovegge4(AF14)</f>
        <v>#NAME?</v>
      </c>
      <c r="AJ14" t="s">
        <v>872</v>
      </c>
    </row>
    <row r="15" spans="2:36" x14ac:dyDescent="0.25">
      <c r="D15" cm="1">
        <f t="array" ref="D15">ROW()-ROW(lista[#Headers])</f>
        <v>14</v>
      </c>
      <c r="E15" t="str" cm="1">
        <f t="array" ref="E15">SzuressNev($B$1,lista[[#This Row],[idx]])</f>
        <v>Machon Kinga Kitti</v>
      </c>
      <c r="F15">
        <f>COUNTIF($E$2:E15,E15)</f>
        <v>1</v>
      </c>
      <c r="G15" t="str" cm="1">
        <f t="array" ref="G15">SzuressOk($B$1,lista[[#This Row],[idx]])</f>
        <v>kevéspont</v>
      </c>
      <c r="H15" t="str" cm="1">
        <f t="array" ref="H15">SzuressOktazon($B$1,lista[[#This Row],[idx]])</f>
        <v>73385719960</v>
      </c>
      <c r="I15" t="s">
        <v>1781</v>
      </c>
      <c r="J15" t="s">
        <v>1782</v>
      </c>
      <c r="K15" t="s">
        <v>1100</v>
      </c>
      <c r="L15" s="18">
        <v>42254</v>
      </c>
      <c r="M15">
        <v>82.84</v>
      </c>
      <c r="Q15" t="s">
        <v>805</v>
      </c>
      <c r="R15" t="str" cm="1">
        <f t="array" ref="R15">Határozat(E15)</f>
        <v>nem nyert felvételt</v>
      </c>
      <c r="S15" t="s">
        <v>54</v>
      </c>
      <c r="AE15" t="s">
        <v>3027</v>
      </c>
      <c r="AF15" t="s">
        <v>1078</v>
      </c>
      <c r="AG15" t="e" cm="1">
        <f t="array" aca="1" ref="AG15" ca="1">DatumSzovegge5(AF15)</f>
        <v>#NAME?</v>
      </c>
      <c r="AH15" t="e" cm="1">
        <f t="array" aca="1" ref="AH15" ca="1">DatumSzovegge3(AF15)</f>
        <v>#NAME?</v>
      </c>
      <c r="AI15" t="e" cm="1">
        <f t="array" aca="1" ref="AI15" ca="1">DatumSzovegge4(AF15)</f>
        <v>#NAME?</v>
      </c>
      <c r="AJ15" t="s">
        <v>872</v>
      </c>
    </row>
    <row r="16" spans="2:36" x14ac:dyDescent="0.25">
      <c r="D16" cm="1">
        <f t="array" ref="D16">ROW()-ROW(lista[#Headers])</f>
        <v>15</v>
      </c>
      <c r="E16" t="str" cm="1">
        <f t="array" ref="E16">SzuressNev($B$1,lista[[#This Row],[idx]])</f>
        <v>Makai Dóra</v>
      </c>
      <c r="F16">
        <f>COUNTIF($E$2:E16,E16)</f>
        <v>1</v>
      </c>
      <c r="G16" t="str" cm="1">
        <f t="array" ref="G16">SzuressOk($B$1,lista[[#This Row],[idx]])</f>
        <v>kevéspont</v>
      </c>
      <c r="H16" t="str" cm="1">
        <f t="array" ref="H16">SzuressOktazon($B$1,lista[[#This Row],[idx]])</f>
        <v>73448493800</v>
      </c>
      <c r="I16" t="s">
        <v>1796</v>
      </c>
      <c r="J16" t="s">
        <v>1797</v>
      </c>
      <c r="K16" t="s">
        <v>1100</v>
      </c>
      <c r="L16" s="18">
        <v>42388</v>
      </c>
      <c r="M16">
        <v>86</v>
      </c>
      <c r="Q16" t="s">
        <v>805</v>
      </c>
      <c r="R16" t="str" cm="1">
        <f t="array" ref="R16">Határozat(E16)</f>
        <v>nem nyert felvételt</v>
      </c>
      <c r="S16" t="s">
        <v>54</v>
      </c>
      <c r="AE16" t="s">
        <v>3030</v>
      </c>
      <c r="AF16" t="s">
        <v>1078</v>
      </c>
      <c r="AG16" t="e" cm="1">
        <f t="array" aca="1" ref="AG16" ca="1">DatumSzovegge5(AF16)</f>
        <v>#NAME?</v>
      </c>
      <c r="AH16" t="e" cm="1">
        <f t="array" aca="1" ref="AH16" ca="1">DatumSzovegge3(AF16)</f>
        <v>#NAME?</v>
      </c>
      <c r="AI16" t="e" cm="1">
        <f t="array" aca="1" ref="AI16" ca="1">DatumSzovegge4(AF16)</f>
        <v>#NAME?</v>
      </c>
      <c r="AJ16" t="s">
        <v>872</v>
      </c>
    </row>
    <row r="17" spans="4:36" x14ac:dyDescent="0.25">
      <c r="D17" cm="1">
        <f t="array" ref="D17">ROW()-ROW(lista[#Headers])</f>
        <v>16</v>
      </c>
      <c r="E17" t="str" cm="1">
        <f t="array" ref="E17">SzuressNev($B$1,lista[[#This Row],[idx]])</f>
        <v>Pertl Vilmos</v>
      </c>
      <c r="F17">
        <f>COUNTIF($E$2:E17,E17)</f>
        <v>1</v>
      </c>
      <c r="G17" t="str" cm="1">
        <f t="array" ref="G17">SzuressOk($B$1,lista[[#This Row],[idx]])</f>
        <v>kevéspont</v>
      </c>
      <c r="H17" t="str" cm="1">
        <f t="array" ref="H17">SzuressOktazon($B$1,lista[[#This Row],[idx]])</f>
        <v>73451670818</v>
      </c>
      <c r="I17" t="s">
        <v>1964</v>
      </c>
      <c r="J17" t="s">
        <v>1965</v>
      </c>
      <c r="K17" t="s">
        <v>1101</v>
      </c>
      <c r="L17" s="18">
        <v>42326</v>
      </c>
      <c r="M17">
        <v>92.5</v>
      </c>
      <c r="Q17" t="s">
        <v>805</v>
      </c>
      <c r="R17" t="str" cm="1">
        <f t="array" ref="R17">Határozat(E17)</f>
        <v>nem nyert felvételt</v>
      </c>
      <c r="S17" t="s">
        <v>54</v>
      </c>
      <c r="Z17" t="s">
        <v>44</v>
      </c>
      <c r="AA17" t="s">
        <v>46</v>
      </c>
      <c r="AE17" t="s">
        <v>3063</v>
      </c>
      <c r="AF17" t="s">
        <v>1078</v>
      </c>
      <c r="AG17" t="e" cm="1">
        <f t="array" aca="1" ref="AG17" ca="1">DatumSzovegge5(AF17)</f>
        <v>#NAME?</v>
      </c>
      <c r="AH17" t="e" cm="1">
        <f t="array" aca="1" ref="AH17" ca="1">DatumSzovegge3(AF17)</f>
        <v>#NAME?</v>
      </c>
      <c r="AI17" t="e" cm="1">
        <f t="array" aca="1" ref="AI17" ca="1">DatumSzovegge4(AF17)</f>
        <v>#NAME?</v>
      </c>
      <c r="AJ17" t="s">
        <v>872</v>
      </c>
    </row>
    <row r="18" spans="4:36" x14ac:dyDescent="0.25">
      <c r="D18" cm="1">
        <f t="array" ref="D18">ROW()-ROW(lista[#Headers])</f>
        <v>17</v>
      </c>
      <c r="E18" t="str" cm="1">
        <f t="array" ref="E18">SzuressNev($B$1,lista[[#This Row],[idx]])</f>
        <v>Rádosi Romina Liza</v>
      </c>
      <c r="F18">
        <f>COUNTIF($E$2:E18,E18)</f>
        <v>1</v>
      </c>
      <c r="G18" t="str" cm="1">
        <f t="array" ref="G18">SzuressOk($B$1,lista[[#This Row],[idx]])</f>
        <v>kevéspont</v>
      </c>
      <c r="H18" t="str" cm="1">
        <f t="array" ref="H18">SzuressOktazon($B$1,lista[[#This Row],[idx]])</f>
        <v>73347281187</v>
      </c>
      <c r="I18" t="s">
        <v>2014</v>
      </c>
      <c r="J18" t="s">
        <v>2015</v>
      </c>
      <c r="K18" t="s">
        <v>1096</v>
      </c>
      <c r="L18" s="18">
        <v>42211</v>
      </c>
      <c r="M18">
        <v>123.68</v>
      </c>
      <c r="Q18" t="s">
        <v>805</v>
      </c>
      <c r="R18" t="str" cm="1">
        <f t="array" ref="R18">Határozat(E18)</f>
        <v>nem nyert felvételt</v>
      </c>
      <c r="S18" t="s">
        <v>54</v>
      </c>
      <c r="AE18" t="s">
        <v>3073</v>
      </c>
      <c r="AF18" t="s">
        <v>1078</v>
      </c>
      <c r="AG18" t="e" cm="1">
        <f t="array" aca="1" ref="AG18" ca="1">DatumSzovegge5(AF18)</f>
        <v>#NAME?</v>
      </c>
      <c r="AH18" t="e" cm="1">
        <f t="array" aca="1" ref="AH18" ca="1">DatumSzovegge3(AF18)</f>
        <v>#NAME?</v>
      </c>
      <c r="AI18" t="e" cm="1">
        <f t="array" aca="1" ref="AI18" ca="1">DatumSzovegge4(AF18)</f>
        <v>#NAME?</v>
      </c>
      <c r="AJ18" t="s">
        <v>872</v>
      </c>
    </row>
    <row r="19" spans="4:36" x14ac:dyDescent="0.25">
      <c r="D19" cm="1">
        <f t="array" ref="D19">ROW()-ROW(lista[#Headers])</f>
        <v>18</v>
      </c>
      <c r="E19" t="str" cm="1">
        <f t="array" ref="E19">SzuressNev($B$1,lista[[#This Row],[idx]])</f>
        <v>Schay Benedek</v>
      </c>
      <c r="F19">
        <f>COUNTIF($E$2:E19,E19)</f>
        <v>1</v>
      </c>
      <c r="G19" t="str" cm="1">
        <f t="array" ref="G19">SzuressOk($B$1,lista[[#This Row],[idx]])</f>
        <v>kevéspont</v>
      </c>
      <c r="H19" t="str" cm="1">
        <f t="array" ref="H19">SzuressOktazon($B$1,lista[[#This Row],[idx]])</f>
        <v>73379215029</v>
      </c>
      <c r="I19" t="s">
        <v>2051</v>
      </c>
      <c r="J19" t="s">
        <v>2052</v>
      </c>
      <c r="K19" t="s">
        <v>1097</v>
      </c>
      <c r="L19" s="18">
        <v>42152</v>
      </c>
      <c r="M19">
        <v>88.25</v>
      </c>
      <c r="Q19" t="s">
        <v>805</v>
      </c>
      <c r="R19" t="str" cm="1">
        <f t="array" ref="R19">Határozat(E19)</f>
        <v>nem nyert felvételt</v>
      </c>
      <c r="S19" t="s">
        <v>54</v>
      </c>
      <c r="Z19" t="s">
        <v>556</v>
      </c>
      <c r="AA19" t="s">
        <v>558</v>
      </c>
      <c r="AE19" t="s">
        <v>3080</v>
      </c>
      <c r="AF19" t="s">
        <v>1078</v>
      </c>
      <c r="AG19" t="e" cm="1">
        <f t="array" aca="1" ref="AG19" ca="1">DatumSzovegge5(AF19)</f>
        <v>#NAME?</v>
      </c>
      <c r="AH19" t="e" cm="1">
        <f t="array" aca="1" ref="AH19" ca="1">DatumSzovegge3(AF19)</f>
        <v>#NAME?</v>
      </c>
      <c r="AI19" t="e" cm="1">
        <f t="array" aca="1" ref="AI19" ca="1">DatumSzovegge4(AF19)</f>
        <v>#NAME?</v>
      </c>
      <c r="AJ19" t="s">
        <v>872</v>
      </c>
    </row>
    <row r="20" spans="4:36" x14ac:dyDescent="0.25">
      <c r="D20" cm="1">
        <f t="array" ref="D20">ROW()-ROW(lista[#Headers])</f>
        <v>19</v>
      </c>
      <c r="E20" t="str" cm="1">
        <f t="array" ref="E20">SzuressNev($B$1,lista[[#This Row],[idx]])</f>
        <v>Szalai Gergő Máté</v>
      </c>
      <c r="F20">
        <f>COUNTIF($E$2:E20,E20)</f>
        <v>1</v>
      </c>
      <c r="G20" t="str" cm="1">
        <f t="array" ref="G20">SzuressOk($B$1,lista[[#This Row],[idx]])</f>
        <v>kevéspont</v>
      </c>
      <c r="H20" t="str" cm="1">
        <f t="array" ref="H20">SzuressOktazon($B$1,lista[[#This Row],[idx]])</f>
        <v>73573016954</v>
      </c>
      <c r="I20" t="s">
        <v>2147</v>
      </c>
      <c r="J20" t="s">
        <v>2148</v>
      </c>
      <c r="K20" t="s">
        <v>1096</v>
      </c>
      <c r="L20" s="18">
        <v>42509</v>
      </c>
      <c r="M20">
        <v>70.83</v>
      </c>
      <c r="Q20" t="s">
        <v>805</v>
      </c>
      <c r="R20" t="str" cm="1">
        <f t="array" ref="R20">Határozat(E20)</f>
        <v>nem nyert felvételt</v>
      </c>
      <c r="S20" t="s">
        <v>54</v>
      </c>
      <c r="Z20" t="s">
        <v>2151</v>
      </c>
      <c r="AA20" t="s">
        <v>2873</v>
      </c>
      <c r="AE20" t="s">
        <v>3100</v>
      </c>
      <c r="AF20" t="s">
        <v>1078</v>
      </c>
      <c r="AG20" t="e" cm="1">
        <f t="array" aca="1" ref="AG20" ca="1">DatumSzovegge5(AF20)</f>
        <v>#NAME?</v>
      </c>
      <c r="AH20" t="e" cm="1">
        <f t="array" aca="1" ref="AH20" ca="1">DatumSzovegge3(AF20)</f>
        <v>#NAME?</v>
      </c>
      <c r="AI20" t="e" cm="1">
        <f t="array" aca="1" ref="AI20" ca="1">DatumSzovegge4(AF20)</f>
        <v>#NAME?</v>
      </c>
      <c r="AJ20" t="s">
        <v>872</v>
      </c>
    </row>
    <row r="21" spans="4:36" x14ac:dyDescent="0.25">
      <c r="D21" cm="1">
        <f t="array" ref="D21">ROW()-ROW(lista[#Headers])</f>
        <v>20</v>
      </c>
      <c r="E21" t="str" cm="1">
        <f t="array" ref="E21">SzuressNev($B$1,lista[[#This Row],[idx]])</f>
        <v>Zakár András</v>
      </c>
      <c r="F21">
        <f>COUNTIF($E$2:E21,E21)</f>
        <v>1</v>
      </c>
      <c r="G21" t="str" cm="1">
        <f t="array" ref="G21">SzuressOk($B$1,lista[[#This Row],[idx]])</f>
        <v>kevéspont</v>
      </c>
      <c r="H21" t="str" cm="1">
        <f t="array" ref="H21">SzuressOktazon($B$1,lista[[#This Row],[idx]])</f>
        <v>73403215172</v>
      </c>
      <c r="I21" t="s">
        <v>2329</v>
      </c>
      <c r="J21" t="s">
        <v>2330</v>
      </c>
      <c r="K21" t="s">
        <v>1100</v>
      </c>
      <c r="L21" s="18">
        <v>42212</v>
      </c>
      <c r="M21">
        <v>78.98</v>
      </c>
      <c r="Q21" t="s">
        <v>805</v>
      </c>
      <c r="R21" t="str" cm="1">
        <f t="array" ref="R21">Határozat(E21)</f>
        <v>nem nyert felvételt</v>
      </c>
      <c r="S21" t="s">
        <v>54</v>
      </c>
      <c r="Z21" t="s">
        <v>2333</v>
      </c>
      <c r="AA21" t="s">
        <v>2882</v>
      </c>
      <c r="AE21" t="s">
        <v>3136</v>
      </c>
      <c r="AF21" t="s">
        <v>1078</v>
      </c>
      <c r="AG21" t="e" cm="1">
        <f t="array" aca="1" ref="AG21" ca="1">DatumSzovegge5(AF21)</f>
        <v>#NAME?</v>
      </c>
      <c r="AH21" t="e" cm="1">
        <f t="array" aca="1" ref="AH21" ca="1">DatumSzovegge3(AF21)</f>
        <v>#NAME?</v>
      </c>
      <c r="AI21" t="e" cm="1">
        <f t="array" aca="1" ref="AI21" ca="1">DatumSzovegge4(AF21)</f>
        <v>#NAME?</v>
      </c>
      <c r="AJ21" t="s">
        <v>872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12822B-1453-44BC-99CD-06DF5B319F91}">
          <x14:formula1>
            <xm:f>adatok!$B$3:$B$6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C6EA7-58FA-468A-9028-E6BC26EC7B1E}">
  <sheetPr codeName="Munka3"/>
  <dimension ref="A1:G12"/>
  <sheetViews>
    <sheetView workbookViewId="0">
      <selection activeCell="D14" sqref="D14"/>
    </sheetView>
  </sheetViews>
  <sheetFormatPr defaultRowHeight="15" x14ac:dyDescent="0.25"/>
  <cols>
    <col min="2" max="2" width="13.85546875" customWidth="1"/>
    <col min="4" max="4" width="31" bestFit="1" customWidth="1"/>
    <col min="5" max="5" width="16.42578125" customWidth="1"/>
    <col min="6" max="6" width="11.140625" customWidth="1"/>
    <col min="7" max="7" width="16.42578125" bestFit="1" customWidth="1"/>
  </cols>
  <sheetData>
    <row r="1" spans="1:7" x14ac:dyDescent="0.25">
      <c r="B1" s="4">
        <v>3000</v>
      </c>
      <c r="D1" t="s">
        <v>1050</v>
      </c>
      <c r="E1" t="s">
        <v>673</v>
      </c>
      <c r="F1" t="s">
        <v>1060</v>
      </c>
      <c r="G1" t="s">
        <v>1079</v>
      </c>
    </row>
    <row r="2" spans="1:7" x14ac:dyDescent="0.25">
      <c r="D2" t="s">
        <v>1158</v>
      </c>
      <c r="E2">
        <v>73458204705</v>
      </c>
      <c r="F2">
        <v>168.75</v>
      </c>
      <c r="G2">
        <v>31</v>
      </c>
    </row>
    <row r="3" spans="1:7" x14ac:dyDescent="0.25">
      <c r="D3" t="s">
        <v>1236</v>
      </c>
      <c r="E3">
        <v>73356576262</v>
      </c>
      <c r="F3">
        <v>166.75</v>
      </c>
      <c r="G3">
        <v>41</v>
      </c>
    </row>
    <row r="4" spans="1:7" x14ac:dyDescent="0.25">
      <c r="A4" s="6"/>
      <c r="B4" t="s">
        <v>1080</v>
      </c>
      <c r="D4" t="s">
        <v>1187</v>
      </c>
      <c r="E4">
        <v>73388245475</v>
      </c>
      <c r="F4">
        <v>160.5</v>
      </c>
      <c r="G4">
        <v>56</v>
      </c>
    </row>
    <row r="5" spans="1:7" x14ac:dyDescent="0.25">
      <c r="A5" s="7"/>
      <c r="B5" t="s">
        <v>1081</v>
      </c>
      <c r="D5" t="s">
        <v>1168</v>
      </c>
      <c r="E5">
        <v>73408066413</v>
      </c>
      <c r="F5">
        <v>160.5</v>
      </c>
      <c r="G5">
        <v>58</v>
      </c>
    </row>
    <row r="6" spans="1:7" x14ac:dyDescent="0.25">
      <c r="A6" s="8"/>
      <c r="B6" t="s">
        <v>1082</v>
      </c>
      <c r="D6" t="s">
        <v>1154</v>
      </c>
      <c r="E6">
        <v>73397704076</v>
      </c>
      <c r="F6">
        <v>142.75</v>
      </c>
      <c r="G6">
        <v>112</v>
      </c>
    </row>
    <row r="7" spans="1:7" x14ac:dyDescent="0.25">
      <c r="D7" t="s">
        <v>1162</v>
      </c>
      <c r="E7">
        <v>73368662837</v>
      </c>
      <c r="F7">
        <v>142.30000000000001</v>
      </c>
      <c r="G7">
        <v>113</v>
      </c>
    </row>
    <row r="8" spans="1:7" x14ac:dyDescent="0.25">
      <c r="D8" t="s">
        <v>1201</v>
      </c>
      <c r="E8">
        <v>73447278513</v>
      </c>
      <c r="F8">
        <v>139</v>
      </c>
      <c r="G8">
        <v>125</v>
      </c>
    </row>
    <row r="9" spans="1:7" x14ac:dyDescent="0.25">
      <c r="D9" t="s">
        <v>1205</v>
      </c>
      <c r="E9">
        <v>73439061486</v>
      </c>
      <c r="F9">
        <v>137.75</v>
      </c>
      <c r="G9">
        <v>130</v>
      </c>
    </row>
    <row r="10" spans="1:7" x14ac:dyDescent="0.25">
      <c r="D10" t="s">
        <v>1174</v>
      </c>
      <c r="E10">
        <v>73403951239</v>
      </c>
      <c r="F10">
        <v>133</v>
      </c>
      <c r="G10">
        <v>149</v>
      </c>
    </row>
    <row r="11" spans="1:7" x14ac:dyDescent="0.25">
      <c r="D11" t="s">
        <v>1215</v>
      </c>
      <c r="E11">
        <v>73426435560</v>
      </c>
      <c r="F11">
        <v>125.55</v>
      </c>
      <c r="G11">
        <v>174</v>
      </c>
    </row>
    <row r="12" spans="1:7" x14ac:dyDescent="0.25">
      <c r="D12" t="s">
        <v>1224</v>
      </c>
      <c r="E12">
        <v>73403984187</v>
      </c>
      <c r="F12">
        <v>112.75</v>
      </c>
      <c r="G12">
        <v>199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C0C899-2C19-4ABC-93F4-8AEEBA59F900}">
          <x14:formula1>
            <xm:f>adatok!$B$8:$B$11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96BE-DDE9-41EB-A128-3A13DD5B4A9A}">
  <sheetPr codeName="Munka9"/>
  <dimension ref="C1:P166"/>
  <sheetViews>
    <sheetView topLeftCell="K1" workbookViewId="0">
      <selection activeCell="A139" sqref="A139"/>
    </sheetView>
  </sheetViews>
  <sheetFormatPr defaultRowHeight="15" x14ac:dyDescent="0.25"/>
  <cols>
    <col min="3" max="3" width="10.5703125" bestFit="1" customWidth="1"/>
    <col min="4" max="4" width="12" bestFit="1" customWidth="1"/>
    <col min="5" max="5" width="26.42578125" bestFit="1" customWidth="1"/>
    <col min="6" max="6" width="14" bestFit="1" customWidth="1"/>
    <col min="7" max="7" width="17.42578125" bestFit="1" customWidth="1"/>
    <col min="8" max="8" width="9.5703125" bestFit="1" customWidth="1"/>
    <col min="9" max="9" width="13.5703125" bestFit="1" customWidth="1"/>
    <col min="10" max="10" width="13.42578125" bestFit="1" customWidth="1"/>
    <col min="11" max="11" width="17" bestFit="1" customWidth="1"/>
    <col min="12" max="12" width="12.42578125" bestFit="1" customWidth="1"/>
    <col min="13" max="13" width="12.140625" bestFit="1" customWidth="1"/>
    <col min="14" max="14" width="15.42578125" bestFit="1" customWidth="1"/>
    <col min="15" max="15" width="12.42578125" bestFit="1" customWidth="1"/>
    <col min="16" max="16" width="13.140625" bestFit="1" customWidth="1"/>
  </cols>
  <sheetData>
    <row r="1" spans="3:16" x14ac:dyDescent="0.25">
      <c r="C1" s="13" t="s">
        <v>1086</v>
      </c>
      <c r="D1" s="13" t="s">
        <v>673</v>
      </c>
      <c r="E1" s="13" t="s">
        <v>674</v>
      </c>
      <c r="F1" s="13" t="s">
        <v>687</v>
      </c>
      <c r="G1" s="13" t="s">
        <v>690</v>
      </c>
      <c r="H1" s="13" t="s">
        <v>691</v>
      </c>
      <c r="I1" s="14" t="s">
        <v>1089</v>
      </c>
      <c r="J1" t="s">
        <v>1090</v>
      </c>
      <c r="K1" t="s">
        <v>1091</v>
      </c>
      <c r="L1" t="s">
        <v>1092</v>
      </c>
      <c r="M1" t="s">
        <v>1093</v>
      </c>
      <c r="N1" t="s">
        <v>1094</v>
      </c>
      <c r="O1" t="s">
        <v>1095</v>
      </c>
      <c r="P1" t="s">
        <v>1087</v>
      </c>
    </row>
    <row r="2" spans="3:16" x14ac:dyDescent="0.25">
      <c r="C2" s="10">
        <v>1</v>
      </c>
      <c r="D2" s="10">
        <v>73386081758</v>
      </c>
      <c r="E2" s="10" t="s">
        <v>709</v>
      </c>
      <c r="F2" s="10">
        <v>74</v>
      </c>
      <c r="G2" s="10">
        <v>116.5</v>
      </c>
      <c r="H2" s="10">
        <v>37</v>
      </c>
      <c r="I2" s="15">
        <v>78</v>
      </c>
      <c r="J2">
        <v>123.5</v>
      </c>
      <c r="K2">
        <v>42</v>
      </c>
      <c r="L2">
        <v>4</v>
      </c>
      <c r="M2">
        <v>7</v>
      </c>
      <c r="N2">
        <v>5</v>
      </c>
      <c r="O2">
        <v>4</v>
      </c>
      <c r="P2" t="s">
        <v>1088</v>
      </c>
    </row>
    <row r="3" spans="3:16" x14ac:dyDescent="0.25">
      <c r="C3" s="10">
        <v>2</v>
      </c>
      <c r="D3" s="10">
        <v>73271050903</v>
      </c>
      <c r="E3" s="10" t="s">
        <v>711</v>
      </c>
      <c r="F3" s="10">
        <v>80</v>
      </c>
      <c r="G3" s="10">
        <v>127.5</v>
      </c>
      <c r="H3" s="10">
        <v>47</v>
      </c>
      <c r="I3" s="15">
        <v>78</v>
      </c>
      <c r="J3">
        <v>123.5</v>
      </c>
      <c r="K3">
        <v>42</v>
      </c>
      <c r="L3">
        <v>-2</v>
      </c>
      <c r="M3">
        <v>-4</v>
      </c>
      <c r="N3">
        <v>-5</v>
      </c>
      <c r="O3">
        <v>-5</v>
      </c>
      <c r="P3" t="s">
        <v>1088</v>
      </c>
    </row>
    <row r="4" spans="3:16" x14ac:dyDescent="0.25">
      <c r="C4" s="10">
        <v>3</v>
      </c>
      <c r="D4" s="10">
        <v>73325952570</v>
      </c>
      <c r="E4" s="10" t="s">
        <v>717</v>
      </c>
      <c r="F4" s="10">
        <v>70</v>
      </c>
      <c r="G4" s="10">
        <v>112</v>
      </c>
      <c r="H4" s="10">
        <v>39</v>
      </c>
      <c r="I4" s="15">
        <v>78</v>
      </c>
      <c r="J4">
        <v>123.5</v>
      </c>
      <c r="K4">
        <v>42</v>
      </c>
      <c r="L4">
        <v>8</v>
      </c>
      <c r="M4">
        <v>11.5</v>
      </c>
      <c r="N4">
        <v>3</v>
      </c>
      <c r="O4">
        <v>3</v>
      </c>
      <c r="P4" t="s">
        <v>1088</v>
      </c>
    </row>
    <row r="5" spans="3:16" x14ac:dyDescent="0.25">
      <c r="C5" s="10">
        <v>4</v>
      </c>
      <c r="D5" s="10">
        <v>73346762228</v>
      </c>
      <c r="E5" s="10" t="s">
        <v>718</v>
      </c>
      <c r="F5" s="10">
        <v>76</v>
      </c>
      <c r="G5" s="10">
        <v>119.5</v>
      </c>
      <c r="H5" s="10">
        <v>42</v>
      </c>
      <c r="I5" s="15">
        <v>78</v>
      </c>
      <c r="J5">
        <v>123.5</v>
      </c>
      <c r="K5">
        <v>42</v>
      </c>
      <c r="L5">
        <v>2</v>
      </c>
      <c r="M5">
        <v>4</v>
      </c>
      <c r="N5">
        <v>0</v>
      </c>
      <c r="O5">
        <v>0</v>
      </c>
      <c r="P5" t="s">
        <v>1088</v>
      </c>
    </row>
    <row r="6" spans="3:16" x14ac:dyDescent="0.25">
      <c r="C6" s="10">
        <v>5</v>
      </c>
      <c r="D6" s="10">
        <v>73346759634</v>
      </c>
      <c r="E6" s="10" t="s">
        <v>719</v>
      </c>
      <c r="F6" s="10">
        <v>87</v>
      </c>
      <c r="G6" s="10">
        <v>132.5</v>
      </c>
      <c r="H6" s="10">
        <v>35</v>
      </c>
      <c r="I6" s="15">
        <v>78</v>
      </c>
      <c r="J6">
        <v>123.5</v>
      </c>
      <c r="K6">
        <v>42</v>
      </c>
      <c r="L6">
        <v>-9</v>
      </c>
      <c r="M6">
        <v>-9</v>
      </c>
      <c r="N6">
        <v>7</v>
      </c>
      <c r="O6">
        <v>-9</v>
      </c>
      <c r="P6" t="s">
        <v>1088</v>
      </c>
    </row>
    <row r="7" spans="3:16" x14ac:dyDescent="0.25">
      <c r="C7" s="10">
        <v>6</v>
      </c>
      <c r="D7" s="10">
        <v>73373058500</v>
      </c>
      <c r="E7" s="10" t="s">
        <v>721</v>
      </c>
      <c r="F7" s="10">
        <v>74</v>
      </c>
      <c r="G7" s="10">
        <v>118.5</v>
      </c>
      <c r="H7" s="10">
        <v>48</v>
      </c>
      <c r="I7" s="15">
        <v>78</v>
      </c>
      <c r="J7">
        <v>123.5</v>
      </c>
      <c r="K7">
        <v>42</v>
      </c>
      <c r="L7">
        <v>4</v>
      </c>
      <c r="M7">
        <v>5</v>
      </c>
      <c r="N7">
        <v>-6</v>
      </c>
      <c r="O7">
        <v>-6</v>
      </c>
      <c r="P7" t="s">
        <v>1088</v>
      </c>
    </row>
    <row r="8" spans="3:16" x14ac:dyDescent="0.25">
      <c r="C8" s="10">
        <v>7</v>
      </c>
      <c r="D8" s="10">
        <v>73388845979</v>
      </c>
      <c r="E8" s="10" t="s">
        <v>723</v>
      </c>
      <c r="F8" s="10">
        <v>85</v>
      </c>
      <c r="G8" s="10">
        <v>130</v>
      </c>
      <c r="H8" s="10">
        <v>38</v>
      </c>
      <c r="I8" s="15">
        <v>78</v>
      </c>
      <c r="J8">
        <v>123.5</v>
      </c>
      <c r="K8">
        <v>42</v>
      </c>
      <c r="L8">
        <v>-7</v>
      </c>
      <c r="M8">
        <v>-6.5</v>
      </c>
      <c r="N8">
        <v>4</v>
      </c>
      <c r="O8">
        <v>-7</v>
      </c>
      <c r="P8" t="s">
        <v>1088</v>
      </c>
    </row>
    <row r="9" spans="3:16" x14ac:dyDescent="0.25">
      <c r="C9" s="10">
        <v>8</v>
      </c>
      <c r="D9" s="10">
        <v>73292368236</v>
      </c>
      <c r="E9" s="10" t="s">
        <v>724</v>
      </c>
      <c r="F9" s="10">
        <v>86</v>
      </c>
      <c r="G9" s="10">
        <v>130</v>
      </c>
      <c r="H9" s="10">
        <v>42</v>
      </c>
      <c r="I9" s="15">
        <v>78</v>
      </c>
      <c r="J9">
        <v>123.5</v>
      </c>
      <c r="K9">
        <v>42</v>
      </c>
      <c r="L9">
        <v>-8</v>
      </c>
      <c r="M9">
        <v>-6.5</v>
      </c>
      <c r="N9">
        <v>0</v>
      </c>
      <c r="O9">
        <v>-8</v>
      </c>
      <c r="P9" t="s">
        <v>1088</v>
      </c>
    </row>
    <row r="10" spans="3:16" x14ac:dyDescent="0.25">
      <c r="C10" s="10">
        <v>9</v>
      </c>
      <c r="D10" s="10">
        <v>73367953419</v>
      </c>
      <c r="E10" s="10" t="s">
        <v>731</v>
      </c>
      <c r="F10" s="10">
        <v>77</v>
      </c>
      <c r="G10" s="10">
        <v>120.5</v>
      </c>
      <c r="H10" s="10">
        <v>47</v>
      </c>
      <c r="I10" s="15">
        <v>78</v>
      </c>
      <c r="J10">
        <v>123.5</v>
      </c>
      <c r="K10">
        <v>42</v>
      </c>
      <c r="L10">
        <v>1</v>
      </c>
      <c r="M10">
        <v>3</v>
      </c>
      <c r="N10">
        <v>-5</v>
      </c>
      <c r="O10">
        <v>-5</v>
      </c>
      <c r="P10" t="s">
        <v>1088</v>
      </c>
    </row>
    <row r="11" spans="3:16" x14ac:dyDescent="0.25">
      <c r="C11" s="10">
        <v>10</v>
      </c>
      <c r="D11" s="10">
        <v>73326905842</v>
      </c>
      <c r="E11" s="10" t="s">
        <v>732</v>
      </c>
      <c r="F11" s="10">
        <v>75</v>
      </c>
      <c r="G11" s="10">
        <v>118.5</v>
      </c>
      <c r="H11" s="10">
        <v>35</v>
      </c>
      <c r="I11" s="15">
        <v>78</v>
      </c>
      <c r="J11">
        <v>123.5</v>
      </c>
      <c r="K11">
        <v>42</v>
      </c>
      <c r="L11">
        <v>3</v>
      </c>
      <c r="M11">
        <v>5</v>
      </c>
      <c r="N11">
        <v>7</v>
      </c>
      <c r="O11">
        <v>3</v>
      </c>
      <c r="P11" t="s">
        <v>1088</v>
      </c>
    </row>
    <row r="12" spans="3:16" x14ac:dyDescent="0.25">
      <c r="C12" s="10">
        <v>11</v>
      </c>
      <c r="D12" s="10">
        <v>73323923130</v>
      </c>
      <c r="E12" s="10" t="s">
        <v>733</v>
      </c>
      <c r="F12" s="10">
        <v>87</v>
      </c>
      <c r="G12" s="10">
        <v>131.5</v>
      </c>
      <c r="H12" s="10">
        <v>39</v>
      </c>
      <c r="I12" s="15">
        <v>78</v>
      </c>
      <c r="J12">
        <v>123.5</v>
      </c>
      <c r="K12">
        <v>42</v>
      </c>
      <c r="L12">
        <v>-9</v>
      </c>
      <c r="M12">
        <v>-8</v>
      </c>
      <c r="N12">
        <v>3</v>
      </c>
      <c r="O12">
        <v>-9</v>
      </c>
      <c r="P12" t="s">
        <v>1088</v>
      </c>
    </row>
    <row r="13" spans="3:16" x14ac:dyDescent="0.25">
      <c r="C13" s="10">
        <v>12</v>
      </c>
      <c r="D13" s="10">
        <v>73289680271</v>
      </c>
      <c r="E13" s="10" t="s">
        <v>735</v>
      </c>
      <c r="F13" s="10">
        <v>86</v>
      </c>
      <c r="G13" s="10">
        <v>132</v>
      </c>
      <c r="H13" s="10">
        <v>38</v>
      </c>
      <c r="I13" s="15">
        <v>78</v>
      </c>
      <c r="J13">
        <v>123.5</v>
      </c>
      <c r="K13">
        <v>42</v>
      </c>
      <c r="L13">
        <v>-8</v>
      </c>
      <c r="M13">
        <v>-8.5</v>
      </c>
      <c r="N13">
        <v>4</v>
      </c>
      <c r="O13">
        <v>-8.5</v>
      </c>
      <c r="P13" t="s">
        <v>1088</v>
      </c>
    </row>
    <row r="14" spans="3:16" x14ac:dyDescent="0.25">
      <c r="C14" s="10">
        <v>13</v>
      </c>
      <c r="D14" s="10">
        <v>73385370685</v>
      </c>
      <c r="E14" s="10" t="s">
        <v>736</v>
      </c>
      <c r="F14" s="10">
        <v>79</v>
      </c>
      <c r="G14" s="10">
        <v>123.5</v>
      </c>
      <c r="H14" s="10">
        <v>35</v>
      </c>
      <c r="I14" s="15">
        <v>78</v>
      </c>
      <c r="J14">
        <v>123.5</v>
      </c>
      <c r="K14">
        <v>42</v>
      </c>
      <c r="L14">
        <v>-1</v>
      </c>
      <c r="M14">
        <v>0</v>
      </c>
      <c r="N14">
        <v>7</v>
      </c>
      <c r="O14">
        <v>-1</v>
      </c>
      <c r="P14" t="s">
        <v>1088</v>
      </c>
    </row>
    <row r="15" spans="3:16" x14ac:dyDescent="0.25">
      <c r="C15" s="10">
        <v>14</v>
      </c>
      <c r="D15" s="10">
        <v>73282349738</v>
      </c>
      <c r="E15" s="10" t="s">
        <v>737</v>
      </c>
      <c r="F15" s="10">
        <v>71</v>
      </c>
      <c r="G15" s="10">
        <v>108.5</v>
      </c>
      <c r="H15" s="10">
        <v>49</v>
      </c>
      <c r="I15" s="15">
        <v>78</v>
      </c>
      <c r="J15">
        <v>123.5</v>
      </c>
      <c r="K15">
        <v>42</v>
      </c>
      <c r="L15">
        <v>7</v>
      </c>
      <c r="M15">
        <v>15</v>
      </c>
      <c r="N15">
        <v>-7</v>
      </c>
      <c r="O15">
        <v>-7</v>
      </c>
      <c r="P15" t="s">
        <v>1088</v>
      </c>
    </row>
    <row r="16" spans="3:16" x14ac:dyDescent="0.25">
      <c r="C16" s="10">
        <v>15</v>
      </c>
      <c r="D16" s="10">
        <v>73341109717</v>
      </c>
      <c r="E16" s="10" t="s">
        <v>738</v>
      </c>
      <c r="F16" s="10">
        <v>82</v>
      </c>
      <c r="G16" s="10">
        <v>127.5</v>
      </c>
      <c r="H16" s="10">
        <v>43</v>
      </c>
      <c r="I16" s="15">
        <v>78</v>
      </c>
      <c r="J16">
        <v>123.5</v>
      </c>
      <c r="K16">
        <v>42</v>
      </c>
      <c r="L16">
        <v>-4</v>
      </c>
      <c r="M16">
        <v>-4</v>
      </c>
      <c r="N16">
        <v>-1</v>
      </c>
      <c r="O16">
        <v>-4</v>
      </c>
      <c r="P16" t="s">
        <v>1088</v>
      </c>
    </row>
    <row r="17" spans="3:16" x14ac:dyDescent="0.25">
      <c r="C17" s="10">
        <v>16</v>
      </c>
      <c r="D17" s="10">
        <v>73377401769</v>
      </c>
      <c r="E17" s="10" t="s">
        <v>742</v>
      </c>
      <c r="F17" s="10">
        <v>72</v>
      </c>
      <c r="G17" s="10">
        <v>114</v>
      </c>
      <c r="H17" s="10">
        <v>44</v>
      </c>
      <c r="I17" s="15">
        <v>78</v>
      </c>
      <c r="J17">
        <v>123.5</v>
      </c>
      <c r="K17">
        <v>42</v>
      </c>
      <c r="L17">
        <v>6</v>
      </c>
      <c r="M17">
        <v>9.5</v>
      </c>
      <c r="N17">
        <v>-2</v>
      </c>
      <c r="O17">
        <v>-2</v>
      </c>
      <c r="P17" t="s">
        <v>1088</v>
      </c>
    </row>
    <row r="18" spans="3:16" x14ac:dyDescent="0.25">
      <c r="C18" s="10">
        <v>17</v>
      </c>
      <c r="D18" s="10">
        <v>73514100658</v>
      </c>
      <c r="E18" s="10" t="s">
        <v>744</v>
      </c>
      <c r="F18" s="10">
        <v>78</v>
      </c>
      <c r="G18" s="10">
        <v>122.5</v>
      </c>
      <c r="H18" s="10">
        <v>48</v>
      </c>
      <c r="I18" s="15">
        <v>78</v>
      </c>
      <c r="J18">
        <v>123.5</v>
      </c>
      <c r="K18">
        <v>42</v>
      </c>
      <c r="L18">
        <v>0</v>
      </c>
      <c r="M18">
        <v>1</v>
      </c>
      <c r="N18">
        <v>-6</v>
      </c>
      <c r="O18">
        <v>-6</v>
      </c>
      <c r="P18" t="s">
        <v>1088</v>
      </c>
    </row>
    <row r="19" spans="3:16" x14ac:dyDescent="0.25">
      <c r="C19" s="10">
        <v>18</v>
      </c>
      <c r="D19" s="10">
        <v>73386303079</v>
      </c>
      <c r="E19" s="10" t="s">
        <v>745</v>
      </c>
      <c r="F19" s="10">
        <v>74</v>
      </c>
      <c r="G19" s="10">
        <v>117.5</v>
      </c>
      <c r="H19" s="10">
        <v>15</v>
      </c>
      <c r="I19" s="15">
        <v>78</v>
      </c>
      <c r="J19">
        <v>123.5</v>
      </c>
      <c r="K19">
        <v>42</v>
      </c>
      <c r="L19">
        <v>4</v>
      </c>
      <c r="M19">
        <v>6</v>
      </c>
      <c r="N19">
        <v>27</v>
      </c>
      <c r="O19">
        <v>4</v>
      </c>
      <c r="P19" t="s">
        <v>1088</v>
      </c>
    </row>
    <row r="20" spans="3:16" x14ac:dyDescent="0.25">
      <c r="C20" s="10">
        <v>19</v>
      </c>
      <c r="D20" s="10">
        <v>73346874841</v>
      </c>
      <c r="E20" s="10" t="s">
        <v>746</v>
      </c>
      <c r="F20" s="10">
        <v>76</v>
      </c>
      <c r="G20" s="10">
        <v>120</v>
      </c>
      <c r="H20" s="10">
        <v>37</v>
      </c>
      <c r="I20" s="15">
        <v>78</v>
      </c>
      <c r="J20">
        <v>123.5</v>
      </c>
      <c r="K20">
        <v>42</v>
      </c>
      <c r="L20">
        <v>2</v>
      </c>
      <c r="M20">
        <v>3.5</v>
      </c>
      <c r="N20">
        <v>5</v>
      </c>
      <c r="O20">
        <v>2</v>
      </c>
      <c r="P20" t="s">
        <v>1088</v>
      </c>
    </row>
    <row r="21" spans="3:16" x14ac:dyDescent="0.25">
      <c r="C21" s="10">
        <v>20</v>
      </c>
      <c r="D21" s="10">
        <v>73371455056</v>
      </c>
      <c r="E21" s="10" t="s">
        <v>749</v>
      </c>
      <c r="F21" s="10">
        <v>80</v>
      </c>
      <c r="G21" s="10">
        <v>126</v>
      </c>
      <c r="H21" s="10">
        <v>40</v>
      </c>
      <c r="I21" s="15">
        <v>78</v>
      </c>
      <c r="J21">
        <v>123.5</v>
      </c>
      <c r="K21">
        <v>42</v>
      </c>
      <c r="L21">
        <v>-2</v>
      </c>
      <c r="M21">
        <v>-2.5</v>
      </c>
      <c r="N21">
        <v>2</v>
      </c>
      <c r="O21">
        <v>-2.5</v>
      </c>
      <c r="P21" t="s">
        <v>1088</v>
      </c>
    </row>
    <row r="22" spans="3:16" x14ac:dyDescent="0.25">
      <c r="C22" s="10">
        <v>21</v>
      </c>
      <c r="D22" s="10">
        <v>73269531256</v>
      </c>
      <c r="E22" s="10" t="s">
        <v>750</v>
      </c>
      <c r="F22" s="10">
        <v>86</v>
      </c>
      <c r="G22" s="10">
        <v>135.5</v>
      </c>
      <c r="H22" s="10">
        <v>29</v>
      </c>
      <c r="I22" s="15">
        <v>78</v>
      </c>
      <c r="J22">
        <v>123.5</v>
      </c>
      <c r="K22">
        <v>42</v>
      </c>
      <c r="L22">
        <v>-8</v>
      </c>
      <c r="M22">
        <v>-12</v>
      </c>
      <c r="N22">
        <v>13</v>
      </c>
      <c r="O22">
        <v>-12</v>
      </c>
      <c r="P22" t="s">
        <v>1088</v>
      </c>
    </row>
    <row r="23" spans="3:16" x14ac:dyDescent="0.25">
      <c r="C23" s="10">
        <v>22</v>
      </c>
      <c r="D23" s="10">
        <v>73373314244</v>
      </c>
      <c r="E23" s="10" t="s">
        <v>759</v>
      </c>
      <c r="F23" s="10">
        <v>72</v>
      </c>
      <c r="G23" s="10">
        <v>111.5</v>
      </c>
      <c r="H23" s="10">
        <v>40</v>
      </c>
      <c r="I23" s="15">
        <v>78</v>
      </c>
      <c r="J23">
        <v>123.5</v>
      </c>
      <c r="K23">
        <v>42</v>
      </c>
      <c r="L23">
        <v>6</v>
      </c>
      <c r="M23">
        <v>12</v>
      </c>
      <c r="N23">
        <v>2</v>
      </c>
      <c r="O23">
        <v>2</v>
      </c>
      <c r="P23" t="s">
        <v>1088</v>
      </c>
    </row>
    <row r="24" spans="3:16" x14ac:dyDescent="0.25">
      <c r="C24" s="10">
        <v>23</v>
      </c>
      <c r="D24" s="10">
        <v>73248327161</v>
      </c>
      <c r="E24" s="10" t="s">
        <v>760</v>
      </c>
      <c r="F24" s="10">
        <v>78</v>
      </c>
      <c r="G24" s="10">
        <v>122</v>
      </c>
      <c r="H24" s="10">
        <v>43</v>
      </c>
      <c r="I24" s="15">
        <v>78</v>
      </c>
      <c r="J24">
        <v>123.5</v>
      </c>
      <c r="K24">
        <v>42</v>
      </c>
      <c r="L24">
        <v>0</v>
      </c>
      <c r="M24">
        <v>1.5</v>
      </c>
      <c r="N24">
        <v>-1</v>
      </c>
      <c r="O24">
        <v>-1</v>
      </c>
      <c r="P24" t="s">
        <v>1088</v>
      </c>
    </row>
    <row r="25" spans="3:16" x14ac:dyDescent="0.25">
      <c r="C25" s="10">
        <v>24</v>
      </c>
      <c r="D25" s="10">
        <v>73285656483</v>
      </c>
      <c r="E25" s="10" t="s">
        <v>761</v>
      </c>
      <c r="F25" s="10">
        <v>80</v>
      </c>
      <c r="G25" s="10">
        <v>124.5</v>
      </c>
      <c r="H25" s="10">
        <v>44</v>
      </c>
      <c r="I25" s="15">
        <v>78</v>
      </c>
      <c r="J25">
        <v>123.5</v>
      </c>
      <c r="K25">
        <v>42</v>
      </c>
      <c r="L25">
        <v>-2</v>
      </c>
      <c r="M25">
        <v>-1</v>
      </c>
      <c r="N25">
        <v>-2</v>
      </c>
      <c r="O25">
        <v>-2</v>
      </c>
      <c r="P25" t="s">
        <v>1088</v>
      </c>
    </row>
    <row r="26" spans="3:16" x14ac:dyDescent="0.25">
      <c r="C26" s="10">
        <v>25</v>
      </c>
      <c r="D26" s="10">
        <v>73292087674</v>
      </c>
      <c r="E26" s="10" t="s">
        <v>762</v>
      </c>
      <c r="F26" s="10">
        <v>82</v>
      </c>
      <c r="G26" s="10">
        <v>127.5</v>
      </c>
      <c r="H26" s="10">
        <v>39</v>
      </c>
      <c r="I26" s="15">
        <v>78</v>
      </c>
      <c r="J26">
        <v>123.5</v>
      </c>
      <c r="K26">
        <v>42</v>
      </c>
      <c r="L26">
        <v>-4</v>
      </c>
      <c r="M26">
        <v>-4</v>
      </c>
      <c r="N26">
        <v>3</v>
      </c>
      <c r="O26">
        <v>-4</v>
      </c>
      <c r="P26" t="s">
        <v>1088</v>
      </c>
    </row>
    <row r="27" spans="3:16" x14ac:dyDescent="0.25">
      <c r="C27" s="10">
        <v>26</v>
      </c>
      <c r="D27" s="10">
        <v>73328584852</v>
      </c>
      <c r="E27" s="10" t="s">
        <v>763</v>
      </c>
      <c r="F27" s="10">
        <v>74</v>
      </c>
      <c r="G27" s="10">
        <v>115</v>
      </c>
      <c r="H27" s="10">
        <v>42</v>
      </c>
      <c r="I27" s="15">
        <v>78</v>
      </c>
      <c r="J27">
        <v>123.5</v>
      </c>
      <c r="K27">
        <v>42</v>
      </c>
      <c r="L27">
        <v>4</v>
      </c>
      <c r="M27">
        <v>8.5</v>
      </c>
      <c r="N27">
        <v>0</v>
      </c>
      <c r="O27">
        <v>0</v>
      </c>
      <c r="P27" t="s">
        <v>1088</v>
      </c>
    </row>
    <row r="28" spans="3:16" x14ac:dyDescent="0.25">
      <c r="C28" s="10">
        <v>27</v>
      </c>
      <c r="D28" s="10">
        <v>73346366898</v>
      </c>
      <c r="E28" s="10" t="s">
        <v>765</v>
      </c>
      <c r="F28" s="10">
        <v>76</v>
      </c>
      <c r="G28" s="10">
        <v>121.5</v>
      </c>
      <c r="H28" s="10">
        <v>45</v>
      </c>
      <c r="I28" s="15">
        <v>78</v>
      </c>
      <c r="J28">
        <v>123.5</v>
      </c>
      <c r="K28">
        <v>42</v>
      </c>
      <c r="L28">
        <v>2</v>
      </c>
      <c r="M28">
        <v>2</v>
      </c>
      <c r="N28">
        <v>-3</v>
      </c>
      <c r="O28">
        <v>-3</v>
      </c>
      <c r="P28" t="s">
        <v>1088</v>
      </c>
    </row>
    <row r="29" spans="3:16" x14ac:dyDescent="0.25">
      <c r="C29" s="10">
        <v>28</v>
      </c>
      <c r="D29" s="10">
        <v>73280668196</v>
      </c>
      <c r="E29" s="10" t="s">
        <v>766</v>
      </c>
      <c r="F29" s="10">
        <v>75</v>
      </c>
      <c r="G29" s="10">
        <v>120.5</v>
      </c>
      <c r="H29" s="10">
        <v>38</v>
      </c>
      <c r="I29" s="15">
        <v>78</v>
      </c>
      <c r="J29">
        <v>123.5</v>
      </c>
      <c r="K29">
        <v>42</v>
      </c>
      <c r="L29">
        <v>3</v>
      </c>
      <c r="M29">
        <v>3</v>
      </c>
      <c r="N29">
        <v>4</v>
      </c>
      <c r="O29">
        <v>3</v>
      </c>
      <c r="P29" t="s">
        <v>1088</v>
      </c>
    </row>
    <row r="30" spans="3:16" x14ac:dyDescent="0.25">
      <c r="C30" s="10">
        <v>29</v>
      </c>
      <c r="D30" s="10">
        <v>73374404767</v>
      </c>
      <c r="E30" s="10" t="s">
        <v>770</v>
      </c>
      <c r="F30" s="10">
        <v>78</v>
      </c>
      <c r="G30" s="10">
        <v>121.5</v>
      </c>
      <c r="H30" s="10">
        <v>43</v>
      </c>
      <c r="I30" s="15">
        <v>78</v>
      </c>
      <c r="J30">
        <v>123.5</v>
      </c>
      <c r="K30">
        <v>42</v>
      </c>
      <c r="L30">
        <v>0</v>
      </c>
      <c r="M30">
        <v>2</v>
      </c>
      <c r="N30">
        <v>-1</v>
      </c>
      <c r="O30">
        <v>-1</v>
      </c>
      <c r="P30" t="s">
        <v>1088</v>
      </c>
    </row>
    <row r="31" spans="3:16" x14ac:dyDescent="0.25">
      <c r="C31" s="10">
        <v>30</v>
      </c>
      <c r="D31" s="10">
        <v>73341575071</v>
      </c>
      <c r="E31" s="10" t="s">
        <v>771</v>
      </c>
      <c r="F31" s="10">
        <v>74</v>
      </c>
      <c r="G31" s="10">
        <v>118</v>
      </c>
      <c r="H31" s="10">
        <v>43</v>
      </c>
      <c r="I31" s="15">
        <v>78</v>
      </c>
      <c r="J31">
        <v>123.5</v>
      </c>
      <c r="K31">
        <v>42</v>
      </c>
      <c r="L31">
        <v>4</v>
      </c>
      <c r="M31">
        <v>5.5</v>
      </c>
      <c r="N31">
        <v>-1</v>
      </c>
      <c r="O31">
        <v>-1</v>
      </c>
      <c r="P31" t="s">
        <v>1088</v>
      </c>
    </row>
    <row r="32" spans="3:16" x14ac:dyDescent="0.25">
      <c r="C32" s="10">
        <v>31</v>
      </c>
      <c r="D32" s="10">
        <v>73355331944</v>
      </c>
      <c r="E32" s="10" t="s">
        <v>772</v>
      </c>
      <c r="F32" s="10">
        <v>78</v>
      </c>
      <c r="G32" s="10">
        <v>120.5</v>
      </c>
      <c r="H32" s="10">
        <v>45</v>
      </c>
      <c r="I32" s="15">
        <v>78</v>
      </c>
      <c r="J32">
        <v>123.5</v>
      </c>
      <c r="K32">
        <v>42</v>
      </c>
      <c r="L32">
        <v>0</v>
      </c>
      <c r="M32">
        <v>3</v>
      </c>
      <c r="N32">
        <v>-3</v>
      </c>
      <c r="O32">
        <v>-3</v>
      </c>
      <c r="P32" t="s">
        <v>1088</v>
      </c>
    </row>
    <row r="33" spans="3:16" x14ac:dyDescent="0.25">
      <c r="C33" s="10">
        <v>32</v>
      </c>
      <c r="D33" s="10">
        <v>73329348733</v>
      </c>
      <c r="E33" s="10" t="s">
        <v>773</v>
      </c>
      <c r="F33" s="10">
        <v>81</v>
      </c>
      <c r="G33" s="10">
        <v>129</v>
      </c>
      <c r="H33" s="10">
        <v>38</v>
      </c>
      <c r="I33" s="15">
        <v>78</v>
      </c>
      <c r="J33">
        <v>123.5</v>
      </c>
      <c r="K33">
        <v>42</v>
      </c>
      <c r="L33">
        <v>-3</v>
      </c>
      <c r="M33">
        <v>-5.5</v>
      </c>
      <c r="N33">
        <v>4</v>
      </c>
      <c r="O33">
        <v>-5.5</v>
      </c>
      <c r="P33" t="s">
        <v>1088</v>
      </c>
    </row>
    <row r="34" spans="3:16" x14ac:dyDescent="0.25">
      <c r="C34" s="10">
        <v>33</v>
      </c>
      <c r="D34" s="10">
        <v>73274171822</v>
      </c>
      <c r="E34" s="10" t="s">
        <v>775</v>
      </c>
      <c r="F34" s="10">
        <v>73</v>
      </c>
      <c r="G34" s="10">
        <v>118</v>
      </c>
      <c r="H34" s="10">
        <v>43</v>
      </c>
      <c r="I34" s="15">
        <v>78</v>
      </c>
      <c r="J34">
        <v>123.5</v>
      </c>
      <c r="K34">
        <v>42</v>
      </c>
      <c r="L34">
        <v>5</v>
      </c>
      <c r="M34">
        <v>5.5</v>
      </c>
      <c r="N34">
        <v>-1</v>
      </c>
      <c r="O34">
        <v>-1</v>
      </c>
      <c r="P34" t="s">
        <v>1088</v>
      </c>
    </row>
    <row r="35" spans="3:16" x14ac:dyDescent="0.25">
      <c r="C35" s="10">
        <v>34</v>
      </c>
      <c r="D35" s="10">
        <v>73371870555</v>
      </c>
      <c r="E35" s="10" t="s">
        <v>777</v>
      </c>
      <c r="F35" s="10">
        <v>76</v>
      </c>
      <c r="G35" s="10">
        <v>120.5</v>
      </c>
      <c r="H35" s="10">
        <v>33</v>
      </c>
      <c r="I35" s="15">
        <v>78</v>
      </c>
      <c r="J35">
        <v>123.5</v>
      </c>
      <c r="K35">
        <v>42</v>
      </c>
      <c r="L35">
        <v>2</v>
      </c>
      <c r="M35">
        <v>3</v>
      </c>
      <c r="N35">
        <v>9</v>
      </c>
      <c r="O35">
        <v>2</v>
      </c>
      <c r="P35" t="s">
        <v>1088</v>
      </c>
    </row>
    <row r="36" spans="3:16" x14ac:dyDescent="0.25">
      <c r="C36" s="10">
        <v>35</v>
      </c>
      <c r="D36" s="10">
        <v>73363466180</v>
      </c>
      <c r="E36" s="10" t="s">
        <v>779</v>
      </c>
      <c r="F36" s="10">
        <v>80</v>
      </c>
      <c r="G36" s="10">
        <v>126</v>
      </c>
      <c r="H36" s="10">
        <v>38</v>
      </c>
      <c r="I36" s="15">
        <v>78</v>
      </c>
      <c r="J36">
        <v>123.5</v>
      </c>
      <c r="K36">
        <v>42</v>
      </c>
      <c r="L36">
        <v>-2</v>
      </c>
      <c r="M36">
        <v>-2.5</v>
      </c>
      <c r="N36">
        <v>4</v>
      </c>
      <c r="O36">
        <v>-2.5</v>
      </c>
      <c r="P36" t="s">
        <v>1088</v>
      </c>
    </row>
    <row r="37" spans="3:16" x14ac:dyDescent="0.25">
      <c r="C37" s="10">
        <v>36</v>
      </c>
      <c r="D37" s="10">
        <v>73394601137</v>
      </c>
      <c r="E37" s="10" t="s">
        <v>780</v>
      </c>
      <c r="F37" s="10">
        <v>87</v>
      </c>
      <c r="G37" s="10">
        <v>135</v>
      </c>
      <c r="H37" s="10">
        <v>33</v>
      </c>
      <c r="I37" s="15">
        <v>78</v>
      </c>
      <c r="J37">
        <v>123.5</v>
      </c>
      <c r="K37">
        <v>42</v>
      </c>
      <c r="L37">
        <v>-9</v>
      </c>
      <c r="M37">
        <v>-11.5</v>
      </c>
      <c r="N37">
        <v>9</v>
      </c>
      <c r="O37">
        <v>-11.5</v>
      </c>
      <c r="P37" t="s">
        <v>1088</v>
      </c>
    </row>
    <row r="38" spans="3:16" x14ac:dyDescent="0.25">
      <c r="C38" s="10">
        <v>37</v>
      </c>
      <c r="D38" s="10">
        <v>73299760080</v>
      </c>
      <c r="E38" s="10" t="s">
        <v>782</v>
      </c>
      <c r="F38" s="10">
        <v>82</v>
      </c>
      <c r="G38" s="10">
        <v>125.5</v>
      </c>
      <c r="H38" s="10">
        <v>46</v>
      </c>
      <c r="I38" s="15">
        <v>78</v>
      </c>
      <c r="J38">
        <v>123.5</v>
      </c>
      <c r="K38">
        <v>42</v>
      </c>
      <c r="L38">
        <v>-4</v>
      </c>
      <c r="M38">
        <v>-2</v>
      </c>
      <c r="N38">
        <v>-4</v>
      </c>
      <c r="O38">
        <v>-4</v>
      </c>
      <c r="P38" t="s">
        <v>1088</v>
      </c>
    </row>
    <row r="39" spans="3:16" x14ac:dyDescent="0.25">
      <c r="C39" s="10">
        <v>38</v>
      </c>
      <c r="D39" s="10">
        <v>73304707975</v>
      </c>
      <c r="E39" s="10" t="s">
        <v>783</v>
      </c>
      <c r="F39" s="10">
        <v>76</v>
      </c>
      <c r="G39" s="10">
        <v>119</v>
      </c>
      <c r="H39" s="10">
        <v>48</v>
      </c>
      <c r="I39" s="15">
        <v>78</v>
      </c>
      <c r="J39">
        <v>123.5</v>
      </c>
      <c r="K39">
        <v>42</v>
      </c>
      <c r="L39">
        <v>2</v>
      </c>
      <c r="M39">
        <v>4.5</v>
      </c>
      <c r="N39">
        <v>-6</v>
      </c>
      <c r="O39">
        <v>-6</v>
      </c>
      <c r="P39" t="s">
        <v>1088</v>
      </c>
    </row>
    <row r="40" spans="3:16" x14ac:dyDescent="0.25">
      <c r="C40" s="10">
        <v>39</v>
      </c>
      <c r="D40" s="10">
        <v>73398526587</v>
      </c>
      <c r="E40" s="10" t="s">
        <v>786</v>
      </c>
      <c r="F40" s="10">
        <v>80</v>
      </c>
      <c r="G40" s="10">
        <v>126</v>
      </c>
      <c r="H40" s="10">
        <v>36</v>
      </c>
      <c r="I40" s="15">
        <v>78</v>
      </c>
      <c r="J40">
        <v>123.5</v>
      </c>
      <c r="K40">
        <v>42</v>
      </c>
      <c r="L40">
        <v>-2</v>
      </c>
      <c r="M40">
        <v>-2.5</v>
      </c>
      <c r="N40">
        <v>6</v>
      </c>
      <c r="O40">
        <v>-2.5</v>
      </c>
      <c r="P40" t="s">
        <v>1088</v>
      </c>
    </row>
    <row r="41" spans="3:16" x14ac:dyDescent="0.25">
      <c r="C41" s="10">
        <v>40</v>
      </c>
      <c r="D41" s="10">
        <v>73382870796</v>
      </c>
      <c r="E41" s="10" t="s">
        <v>789</v>
      </c>
      <c r="F41" s="10">
        <v>84</v>
      </c>
      <c r="G41" s="10">
        <v>131</v>
      </c>
      <c r="H41" s="10">
        <v>31</v>
      </c>
      <c r="I41" s="15">
        <v>78</v>
      </c>
      <c r="J41">
        <v>123.5</v>
      </c>
      <c r="K41">
        <v>42</v>
      </c>
      <c r="L41">
        <v>-6</v>
      </c>
      <c r="M41">
        <v>-7.5</v>
      </c>
      <c r="N41">
        <v>11</v>
      </c>
      <c r="O41">
        <v>-7.5</v>
      </c>
      <c r="P41" t="s">
        <v>1088</v>
      </c>
    </row>
    <row r="42" spans="3:16" x14ac:dyDescent="0.25">
      <c r="C42" s="10">
        <v>41</v>
      </c>
      <c r="D42" s="10">
        <v>73286410998</v>
      </c>
      <c r="E42" s="10" t="s">
        <v>791</v>
      </c>
      <c r="F42" s="10">
        <v>81</v>
      </c>
      <c r="G42" s="10">
        <v>124.5</v>
      </c>
      <c r="H42" s="10">
        <v>44</v>
      </c>
      <c r="I42" s="15">
        <v>78</v>
      </c>
      <c r="J42">
        <v>123.5</v>
      </c>
      <c r="K42">
        <v>42</v>
      </c>
      <c r="L42">
        <v>-3</v>
      </c>
      <c r="M42">
        <v>-1</v>
      </c>
      <c r="N42">
        <v>-2</v>
      </c>
      <c r="O42">
        <v>-3</v>
      </c>
      <c r="P42" t="s">
        <v>1088</v>
      </c>
    </row>
    <row r="43" spans="3:16" x14ac:dyDescent="0.25">
      <c r="C43" s="10">
        <v>42</v>
      </c>
      <c r="D43" s="10">
        <v>73382749213</v>
      </c>
      <c r="E43" s="10" t="s">
        <v>792</v>
      </c>
      <c r="F43" s="10">
        <v>79</v>
      </c>
      <c r="G43" s="10">
        <v>125</v>
      </c>
      <c r="H43" s="10">
        <v>35</v>
      </c>
      <c r="I43" s="15">
        <v>78</v>
      </c>
      <c r="J43">
        <v>123.5</v>
      </c>
      <c r="K43">
        <v>42</v>
      </c>
      <c r="L43">
        <v>-1</v>
      </c>
      <c r="M43">
        <v>-1.5</v>
      </c>
      <c r="N43">
        <v>7</v>
      </c>
      <c r="O43">
        <v>-1.5</v>
      </c>
      <c r="P43" t="s">
        <v>1088</v>
      </c>
    </row>
    <row r="44" spans="3:16" x14ac:dyDescent="0.25">
      <c r="C44" s="10">
        <v>43</v>
      </c>
      <c r="D44" s="10">
        <v>73289987804</v>
      </c>
      <c r="E44" s="10" t="s">
        <v>794</v>
      </c>
      <c r="F44" s="10">
        <v>83</v>
      </c>
      <c r="G44" s="10">
        <v>130.5</v>
      </c>
      <c r="H44" s="10">
        <v>18</v>
      </c>
      <c r="I44" s="15">
        <v>78</v>
      </c>
      <c r="J44">
        <v>123.5</v>
      </c>
      <c r="K44">
        <v>42</v>
      </c>
      <c r="L44">
        <v>-5</v>
      </c>
      <c r="M44">
        <v>-7</v>
      </c>
      <c r="N44">
        <v>24</v>
      </c>
      <c r="O44">
        <v>-7</v>
      </c>
      <c r="P44" t="s">
        <v>1088</v>
      </c>
    </row>
    <row r="45" spans="3:16" x14ac:dyDescent="0.25">
      <c r="C45" s="10">
        <v>44</v>
      </c>
      <c r="D45" s="10">
        <v>73303479098</v>
      </c>
      <c r="E45" s="10" t="s">
        <v>797</v>
      </c>
      <c r="F45" s="10">
        <v>72</v>
      </c>
      <c r="G45" s="10">
        <v>116.5</v>
      </c>
      <c r="H45" s="10">
        <v>42</v>
      </c>
      <c r="I45" s="15">
        <v>78</v>
      </c>
      <c r="J45">
        <v>123.5</v>
      </c>
      <c r="K45">
        <v>42</v>
      </c>
      <c r="L45">
        <v>6</v>
      </c>
      <c r="M45">
        <v>7</v>
      </c>
      <c r="N45">
        <v>0</v>
      </c>
      <c r="O45">
        <v>0</v>
      </c>
      <c r="P45" t="s">
        <v>1088</v>
      </c>
    </row>
    <row r="46" spans="3:16" x14ac:dyDescent="0.25">
      <c r="C46" s="10">
        <v>45</v>
      </c>
      <c r="D46" s="10">
        <v>73379437368</v>
      </c>
      <c r="E46" s="10" t="s">
        <v>798</v>
      </c>
      <c r="F46" s="10">
        <v>75</v>
      </c>
      <c r="G46" s="10">
        <v>118.5</v>
      </c>
      <c r="H46" s="10">
        <v>46</v>
      </c>
      <c r="I46" s="15">
        <v>78</v>
      </c>
      <c r="J46">
        <v>123.5</v>
      </c>
      <c r="K46">
        <v>42</v>
      </c>
      <c r="L46">
        <v>3</v>
      </c>
      <c r="M46">
        <v>5</v>
      </c>
      <c r="N46">
        <v>-4</v>
      </c>
      <c r="O46">
        <v>-4</v>
      </c>
      <c r="P46" t="s">
        <v>1088</v>
      </c>
    </row>
    <row r="47" spans="3:16" x14ac:dyDescent="0.25">
      <c r="C47" s="10">
        <v>46</v>
      </c>
      <c r="D47" s="10">
        <v>73314033863</v>
      </c>
      <c r="E47" s="10" t="s">
        <v>800</v>
      </c>
      <c r="F47" s="10">
        <v>70</v>
      </c>
      <c r="G47" s="10">
        <v>110</v>
      </c>
      <c r="H47" s="10">
        <v>38</v>
      </c>
      <c r="I47" s="15">
        <v>78</v>
      </c>
      <c r="J47">
        <v>123.5</v>
      </c>
      <c r="K47">
        <v>42</v>
      </c>
      <c r="L47">
        <v>8</v>
      </c>
      <c r="M47">
        <v>13.5</v>
      </c>
      <c r="N47">
        <v>4</v>
      </c>
      <c r="O47">
        <v>4</v>
      </c>
      <c r="P47" t="s">
        <v>1088</v>
      </c>
    </row>
    <row r="48" spans="3:16" x14ac:dyDescent="0.25">
      <c r="C48" s="10">
        <v>47</v>
      </c>
      <c r="D48" s="10">
        <v>73373881478</v>
      </c>
      <c r="E48" s="10" t="s">
        <v>801</v>
      </c>
      <c r="F48" s="10">
        <v>82</v>
      </c>
      <c r="G48" s="10">
        <v>128</v>
      </c>
      <c r="H48" s="10">
        <v>47</v>
      </c>
      <c r="I48" s="15">
        <v>78</v>
      </c>
      <c r="J48">
        <v>123.5</v>
      </c>
      <c r="K48">
        <v>42</v>
      </c>
      <c r="L48">
        <v>-4</v>
      </c>
      <c r="M48">
        <v>-4.5</v>
      </c>
      <c r="N48">
        <v>-5</v>
      </c>
      <c r="O48">
        <v>-5</v>
      </c>
      <c r="P48" t="s">
        <v>1088</v>
      </c>
    </row>
    <row r="49" spans="3:16" x14ac:dyDescent="0.25">
      <c r="C49" s="10">
        <v>48</v>
      </c>
      <c r="D49" s="10">
        <v>73356834803</v>
      </c>
      <c r="E49" s="10" t="s">
        <v>802</v>
      </c>
      <c r="F49" s="10">
        <v>79</v>
      </c>
      <c r="G49" s="10">
        <v>122</v>
      </c>
      <c r="H49" s="10">
        <v>42</v>
      </c>
      <c r="I49" s="15">
        <v>78</v>
      </c>
      <c r="J49">
        <v>123.5</v>
      </c>
      <c r="K49">
        <v>42</v>
      </c>
      <c r="L49">
        <v>-1</v>
      </c>
      <c r="M49">
        <v>1.5</v>
      </c>
      <c r="N49">
        <v>0</v>
      </c>
      <c r="O49">
        <v>-1</v>
      </c>
      <c r="P49" t="s">
        <v>1088</v>
      </c>
    </row>
    <row r="50" spans="3:16" x14ac:dyDescent="0.25">
      <c r="C50" s="10">
        <v>49</v>
      </c>
      <c r="D50" s="10">
        <v>73355308712</v>
      </c>
      <c r="E50" s="10" t="s">
        <v>803</v>
      </c>
      <c r="F50" s="10">
        <v>80</v>
      </c>
      <c r="G50" s="10">
        <v>124.5</v>
      </c>
      <c r="H50" s="10">
        <v>48</v>
      </c>
      <c r="I50" s="15">
        <v>78</v>
      </c>
      <c r="J50">
        <v>123.5</v>
      </c>
      <c r="K50">
        <v>42</v>
      </c>
      <c r="L50">
        <v>-2</v>
      </c>
      <c r="M50">
        <v>-1</v>
      </c>
      <c r="N50">
        <v>-6</v>
      </c>
      <c r="O50">
        <v>-6</v>
      </c>
      <c r="P50" t="s">
        <v>1088</v>
      </c>
    </row>
    <row r="51" spans="3:16" x14ac:dyDescent="0.25">
      <c r="C51" s="10">
        <v>50</v>
      </c>
      <c r="D51" s="10">
        <v>73364959508</v>
      </c>
      <c r="E51" s="10" t="s">
        <v>809</v>
      </c>
      <c r="F51" s="10">
        <v>76</v>
      </c>
      <c r="G51" s="10">
        <v>121</v>
      </c>
      <c r="H51" s="10">
        <v>38</v>
      </c>
      <c r="I51" s="15">
        <v>78</v>
      </c>
      <c r="J51">
        <v>123.5</v>
      </c>
      <c r="K51">
        <v>42</v>
      </c>
      <c r="L51">
        <v>2</v>
      </c>
      <c r="M51">
        <v>2.5</v>
      </c>
      <c r="N51">
        <v>4</v>
      </c>
      <c r="O51">
        <v>2</v>
      </c>
      <c r="P51" t="s">
        <v>1088</v>
      </c>
    </row>
    <row r="52" spans="3:16" x14ac:dyDescent="0.25">
      <c r="C52" s="10">
        <v>51</v>
      </c>
      <c r="D52" s="10">
        <v>73386292968</v>
      </c>
      <c r="E52" s="10" t="s">
        <v>810</v>
      </c>
      <c r="F52" s="10">
        <v>89</v>
      </c>
      <c r="G52" s="10">
        <v>135.5</v>
      </c>
      <c r="H52" s="10">
        <v>37</v>
      </c>
      <c r="I52" s="15">
        <v>78</v>
      </c>
      <c r="J52">
        <v>123.5</v>
      </c>
      <c r="K52">
        <v>42</v>
      </c>
      <c r="L52">
        <v>-11</v>
      </c>
      <c r="M52">
        <v>-12</v>
      </c>
      <c r="N52">
        <v>5</v>
      </c>
      <c r="O52">
        <v>-12</v>
      </c>
      <c r="P52" t="s">
        <v>1088</v>
      </c>
    </row>
    <row r="53" spans="3:16" x14ac:dyDescent="0.25">
      <c r="C53" s="10">
        <v>52</v>
      </c>
      <c r="D53" s="10">
        <v>73267401913</v>
      </c>
      <c r="E53" s="10" t="s">
        <v>811</v>
      </c>
      <c r="F53" s="10">
        <v>77</v>
      </c>
      <c r="G53" s="10">
        <v>120.5</v>
      </c>
      <c r="H53" s="10">
        <v>37</v>
      </c>
      <c r="I53" s="15">
        <v>78</v>
      </c>
      <c r="J53">
        <v>123.5</v>
      </c>
      <c r="K53">
        <v>42</v>
      </c>
      <c r="L53">
        <v>1</v>
      </c>
      <c r="M53">
        <v>3</v>
      </c>
      <c r="N53">
        <v>5</v>
      </c>
      <c r="O53">
        <v>1</v>
      </c>
      <c r="P53" t="s">
        <v>1088</v>
      </c>
    </row>
    <row r="54" spans="3:16" x14ac:dyDescent="0.25">
      <c r="C54" s="10">
        <v>53</v>
      </c>
      <c r="D54" s="10">
        <v>73311299826</v>
      </c>
      <c r="E54" s="10" t="s">
        <v>813</v>
      </c>
      <c r="F54" s="10">
        <v>75</v>
      </c>
      <c r="G54" s="10">
        <v>117</v>
      </c>
      <c r="H54" s="10">
        <v>45</v>
      </c>
      <c r="I54" s="15">
        <v>78</v>
      </c>
      <c r="J54">
        <v>123.5</v>
      </c>
      <c r="K54">
        <v>42</v>
      </c>
      <c r="L54">
        <v>3</v>
      </c>
      <c r="M54">
        <v>6.5</v>
      </c>
      <c r="N54">
        <v>-3</v>
      </c>
      <c r="O54">
        <v>-3</v>
      </c>
      <c r="P54" t="s">
        <v>1088</v>
      </c>
    </row>
    <row r="55" spans="3:16" x14ac:dyDescent="0.25">
      <c r="C55" s="10">
        <v>54</v>
      </c>
      <c r="D55" s="10">
        <v>73285430388</v>
      </c>
      <c r="E55" s="10" t="s">
        <v>815</v>
      </c>
      <c r="F55" s="10">
        <v>85</v>
      </c>
      <c r="G55" s="10">
        <v>132.5</v>
      </c>
      <c r="H55" s="10">
        <v>38</v>
      </c>
      <c r="I55" s="15">
        <v>78</v>
      </c>
      <c r="J55">
        <v>123.5</v>
      </c>
      <c r="K55">
        <v>42</v>
      </c>
      <c r="L55">
        <v>-7</v>
      </c>
      <c r="M55">
        <v>-9</v>
      </c>
      <c r="N55">
        <v>4</v>
      </c>
      <c r="O55">
        <v>-9</v>
      </c>
      <c r="P55" t="s">
        <v>1088</v>
      </c>
    </row>
    <row r="56" spans="3:16" x14ac:dyDescent="0.25">
      <c r="C56" s="10">
        <v>55</v>
      </c>
      <c r="D56" s="10">
        <v>73329104863</v>
      </c>
      <c r="E56" s="10" t="s">
        <v>817</v>
      </c>
      <c r="F56" s="10">
        <v>89</v>
      </c>
      <c r="G56" s="10">
        <v>134</v>
      </c>
      <c r="H56" s="10">
        <v>24</v>
      </c>
      <c r="I56" s="15">
        <v>78</v>
      </c>
      <c r="J56">
        <v>123.5</v>
      </c>
      <c r="K56">
        <v>42</v>
      </c>
      <c r="L56">
        <v>-11</v>
      </c>
      <c r="M56">
        <v>-10.5</v>
      </c>
      <c r="N56">
        <v>18</v>
      </c>
      <c r="O56">
        <v>-11</v>
      </c>
      <c r="P56" t="s">
        <v>1088</v>
      </c>
    </row>
    <row r="57" spans="3:16" x14ac:dyDescent="0.25">
      <c r="C57" s="10">
        <v>56</v>
      </c>
      <c r="D57" s="10">
        <v>73380660575</v>
      </c>
      <c r="E57" s="10" t="s">
        <v>818</v>
      </c>
      <c r="F57" s="10">
        <v>72</v>
      </c>
      <c r="G57" s="10">
        <v>112.5</v>
      </c>
      <c r="H57" s="10">
        <v>38</v>
      </c>
      <c r="I57" s="15">
        <v>78</v>
      </c>
      <c r="J57">
        <v>123.5</v>
      </c>
      <c r="K57">
        <v>42</v>
      </c>
      <c r="L57">
        <v>6</v>
      </c>
      <c r="M57">
        <v>11</v>
      </c>
      <c r="N57">
        <v>4</v>
      </c>
      <c r="O57">
        <v>4</v>
      </c>
      <c r="P57" t="s">
        <v>1088</v>
      </c>
    </row>
    <row r="58" spans="3:16" x14ac:dyDescent="0.25">
      <c r="C58" s="10">
        <v>57</v>
      </c>
      <c r="D58" s="10">
        <v>73344420563</v>
      </c>
      <c r="E58" s="10" t="s">
        <v>819</v>
      </c>
      <c r="F58" s="10">
        <v>77</v>
      </c>
      <c r="G58" s="10">
        <v>122</v>
      </c>
      <c r="H58" s="10">
        <v>33</v>
      </c>
      <c r="I58" s="15">
        <v>78</v>
      </c>
      <c r="J58">
        <v>123.5</v>
      </c>
      <c r="K58">
        <v>42</v>
      </c>
      <c r="L58">
        <v>1</v>
      </c>
      <c r="M58">
        <v>1.5</v>
      </c>
      <c r="N58">
        <v>9</v>
      </c>
      <c r="O58">
        <v>1</v>
      </c>
      <c r="P58" t="s">
        <v>1088</v>
      </c>
    </row>
    <row r="59" spans="3:16" x14ac:dyDescent="0.25">
      <c r="C59" s="10">
        <v>58</v>
      </c>
      <c r="D59" s="10">
        <v>73346909580</v>
      </c>
      <c r="E59" s="10" t="s">
        <v>820</v>
      </c>
      <c r="F59" s="10">
        <v>82</v>
      </c>
      <c r="G59" s="10">
        <v>126.5</v>
      </c>
      <c r="H59" s="10">
        <v>43</v>
      </c>
      <c r="I59" s="15">
        <v>78</v>
      </c>
      <c r="J59">
        <v>123.5</v>
      </c>
      <c r="K59">
        <v>42</v>
      </c>
      <c r="L59">
        <v>-4</v>
      </c>
      <c r="M59">
        <v>-3</v>
      </c>
      <c r="N59">
        <v>-1</v>
      </c>
      <c r="O59">
        <v>-4</v>
      </c>
      <c r="P59" t="s">
        <v>1088</v>
      </c>
    </row>
    <row r="60" spans="3:16" x14ac:dyDescent="0.25">
      <c r="C60" s="10">
        <v>59</v>
      </c>
      <c r="D60" s="10">
        <v>73403436164</v>
      </c>
      <c r="E60" s="10" t="s">
        <v>821</v>
      </c>
      <c r="F60" s="10">
        <v>72</v>
      </c>
      <c r="G60" s="10">
        <v>113.5</v>
      </c>
      <c r="H60" s="10">
        <v>45</v>
      </c>
      <c r="I60" s="15">
        <v>78</v>
      </c>
      <c r="J60">
        <v>123.5</v>
      </c>
      <c r="K60">
        <v>42</v>
      </c>
      <c r="L60">
        <v>6</v>
      </c>
      <c r="M60">
        <v>10</v>
      </c>
      <c r="N60">
        <v>-3</v>
      </c>
      <c r="O60">
        <v>-3</v>
      </c>
      <c r="P60" t="s">
        <v>1088</v>
      </c>
    </row>
    <row r="61" spans="3:16" x14ac:dyDescent="0.25">
      <c r="C61" s="10">
        <v>60</v>
      </c>
      <c r="D61" s="10">
        <v>73286276110</v>
      </c>
      <c r="E61" s="10" t="s">
        <v>822</v>
      </c>
      <c r="F61" s="10">
        <v>83</v>
      </c>
      <c r="G61" s="10">
        <v>128</v>
      </c>
      <c r="H61" s="10">
        <v>28</v>
      </c>
      <c r="I61" s="15">
        <v>78</v>
      </c>
      <c r="J61">
        <v>123.5</v>
      </c>
      <c r="K61">
        <v>42</v>
      </c>
      <c r="L61">
        <v>-5</v>
      </c>
      <c r="M61">
        <v>-4.5</v>
      </c>
      <c r="N61">
        <v>14</v>
      </c>
      <c r="O61">
        <v>-5</v>
      </c>
      <c r="P61" t="s">
        <v>1088</v>
      </c>
    </row>
    <row r="62" spans="3:16" x14ac:dyDescent="0.25">
      <c r="C62" s="10">
        <v>61</v>
      </c>
      <c r="D62" s="10">
        <v>73307053848</v>
      </c>
      <c r="E62" s="10" t="s">
        <v>824</v>
      </c>
      <c r="F62" s="10">
        <v>75</v>
      </c>
      <c r="G62" s="10">
        <v>119</v>
      </c>
      <c r="H62" s="10">
        <v>26</v>
      </c>
      <c r="I62" s="15">
        <v>78</v>
      </c>
      <c r="J62">
        <v>123.5</v>
      </c>
      <c r="K62">
        <v>42</v>
      </c>
      <c r="L62">
        <v>3</v>
      </c>
      <c r="M62">
        <v>4.5</v>
      </c>
      <c r="N62">
        <v>16</v>
      </c>
      <c r="O62">
        <v>3</v>
      </c>
      <c r="P62" t="s">
        <v>1088</v>
      </c>
    </row>
    <row r="63" spans="3:16" x14ac:dyDescent="0.25">
      <c r="C63" s="10">
        <v>62</v>
      </c>
      <c r="D63" s="10">
        <v>73301202628</v>
      </c>
      <c r="E63" s="10" t="s">
        <v>827</v>
      </c>
      <c r="F63" s="10">
        <v>71</v>
      </c>
      <c r="G63" s="10">
        <v>113</v>
      </c>
      <c r="H63" s="10">
        <v>47</v>
      </c>
      <c r="I63" s="15">
        <v>78</v>
      </c>
      <c r="J63">
        <v>123.5</v>
      </c>
      <c r="K63">
        <v>42</v>
      </c>
      <c r="L63">
        <v>7</v>
      </c>
      <c r="M63">
        <v>10.5</v>
      </c>
      <c r="N63">
        <v>-5</v>
      </c>
      <c r="O63">
        <v>-5</v>
      </c>
      <c r="P63" t="s">
        <v>1088</v>
      </c>
    </row>
    <row r="64" spans="3:16" x14ac:dyDescent="0.25">
      <c r="C64" s="10">
        <v>63</v>
      </c>
      <c r="D64" s="10">
        <v>73325573588</v>
      </c>
      <c r="E64" s="10" t="s">
        <v>831</v>
      </c>
      <c r="F64" s="10">
        <v>80</v>
      </c>
      <c r="G64" s="10">
        <v>127</v>
      </c>
      <c r="H64" s="10">
        <v>37</v>
      </c>
      <c r="I64" s="15">
        <v>78</v>
      </c>
      <c r="J64">
        <v>123.5</v>
      </c>
      <c r="K64">
        <v>42</v>
      </c>
      <c r="L64">
        <v>-2</v>
      </c>
      <c r="M64">
        <v>-3.5</v>
      </c>
      <c r="N64">
        <v>5</v>
      </c>
      <c r="O64">
        <v>-3.5</v>
      </c>
      <c r="P64" t="s">
        <v>1088</v>
      </c>
    </row>
    <row r="65" spans="3:16" x14ac:dyDescent="0.25">
      <c r="C65" s="10">
        <v>64</v>
      </c>
      <c r="D65" s="10">
        <v>73364941011</v>
      </c>
      <c r="E65" s="10" t="s">
        <v>834</v>
      </c>
      <c r="F65" s="10">
        <v>82</v>
      </c>
      <c r="G65" s="10">
        <v>128</v>
      </c>
      <c r="H65" s="10">
        <v>34</v>
      </c>
      <c r="I65" s="15">
        <v>78</v>
      </c>
      <c r="J65">
        <v>123.5</v>
      </c>
      <c r="K65">
        <v>42</v>
      </c>
      <c r="L65">
        <v>-4</v>
      </c>
      <c r="M65">
        <v>-4.5</v>
      </c>
      <c r="N65">
        <v>8</v>
      </c>
      <c r="O65">
        <v>-4.5</v>
      </c>
      <c r="P65" t="s">
        <v>1088</v>
      </c>
    </row>
    <row r="66" spans="3:16" x14ac:dyDescent="0.25">
      <c r="C66" s="10">
        <v>65</v>
      </c>
      <c r="D66" s="10">
        <v>73370524480</v>
      </c>
      <c r="E66" s="10" t="s">
        <v>835</v>
      </c>
      <c r="F66" s="10">
        <v>80</v>
      </c>
      <c r="G66" s="10">
        <v>124</v>
      </c>
      <c r="H66" s="10">
        <v>39</v>
      </c>
      <c r="I66" s="15">
        <v>78</v>
      </c>
      <c r="J66">
        <v>123.5</v>
      </c>
      <c r="K66">
        <v>42</v>
      </c>
      <c r="L66">
        <v>-2</v>
      </c>
      <c r="M66">
        <v>-0.5</v>
      </c>
      <c r="N66">
        <v>3</v>
      </c>
      <c r="O66">
        <v>-2</v>
      </c>
      <c r="P66" t="s">
        <v>1088</v>
      </c>
    </row>
    <row r="67" spans="3:16" x14ac:dyDescent="0.25">
      <c r="C67" s="10">
        <v>66</v>
      </c>
      <c r="D67" s="10">
        <v>73325412783</v>
      </c>
      <c r="E67" s="10" t="s">
        <v>836</v>
      </c>
      <c r="F67" s="10">
        <v>81</v>
      </c>
      <c r="G67" s="10">
        <v>124.5</v>
      </c>
      <c r="H67" s="10">
        <v>37</v>
      </c>
      <c r="I67" s="15">
        <v>78</v>
      </c>
      <c r="J67">
        <v>123.5</v>
      </c>
      <c r="K67">
        <v>42</v>
      </c>
      <c r="L67">
        <v>-3</v>
      </c>
      <c r="M67">
        <v>-1</v>
      </c>
      <c r="N67">
        <v>5</v>
      </c>
      <c r="O67">
        <v>-3</v>
      </c>
      <c r="P67" t="s">
        <v>1088</v>
      </c>
    </row>
    <row r="68" spans="3:16" x14ac:dyDescent="0.25">
      <c r="C68" s="10">
        <v>67</v>
      </c>
      <c r="D68" s="10">
        <v>73346870682</v>
      </c>
      <c r="E68" s="10" t="s">
        <v>838</v>
      </c>
      <c r="F68" s="10">
        <v>76</v>
      </c>
      <c r="G68" s="10">
        <v>118</v>
      </c>
      <c r="H68" s="10">
        <v>28</v>
      </c>
      <c r="I68" s="15">
        <v>78</v>
      </c>
      <c r="J68">
        <v>123.5</v>
      </c>
      <c r="K68">
        <v>42</v>
      </c>
      <c r="L68">
        <v>2</v>
      </c>
      <c r="M68">
        <v>5.5</v>
      </c>
      <c r="N68">
        <v>14</v>
      </c>
      <c r="O68">
        <v>2</v>
      </c>
      <c r="P68" t="s">
        <v>1088</v>
      </c>
    </row>
    <row r="69" spans="3:16" x14ac:dyDescent="0.25">
      <c r="C69" s="10">
        <v>68</v>
      </c>
      <c r="D69" s="10">
        <v>73371003648</v>
      </c>
      <c r="E69" s="10" t="s">
        <v>839</v>
      </c>
      <c r="F69" s="10">
        <v>83</v>
      </c>
      <c r="G69" s="10">
        <v>130</v>
      </c>
      <c r="H69" s="10">
        <v>32</v>
      </c>
      <c r="I69" s="15">
        <v>78</v>
      </c>
      <c r="J69">
        <v>123.5</v>
      </c>
      <c r="K69">
        <v>42</v>
      </c>
      <c r="L69">
        <v>-5</v>
      </c>
      <c r="M69">
        <v>-6.5</v>
      </c>
      <c r="N69">
        <v>10</v>
      </c>
      <c r="O69">
        <v>-6.5</v>
      </c>
      <c r="P69" t="s">
        <v>1088</v>
      </c>
    </row>
    <row r="70" spans="3:16" x14ac:dyDescent="0.25">
      <c r="C70" s="10">
        <v>69</v>
      </c>
      <c r="D70" s="10">
        <v>73389188130</v>
      </c>
      <c r="E70" s="10" t="s">
        <v>841</v>
      </c>
      <c r="F70" s="10">
        <v>70</v>
      </c>
      <c r="G70" s="10">
        <v>112</v>
      </c>
      <c r="H70" s="10">
        <v>46</v>
      </c>
      <c r="I70" s="15">
        <v>78</v>
      </c>
      <c r="J70">
        <v>123.5</v>
      </c>
      <c r="K70">
        <v>42</v>
      </c>
      <c r="L70">
        <v>8</v>
      </c>
      <c r="M70">
        <v>11.5</v>
      </c>
      <c r="N70">
        <v>-4</v>
      </c>
      <c r="O70">
        <v>-4</v>
      </c>
      <c r="P70" t="s">
        <v>1088</v>
      </c>
    </row>
    <row r="71" spans="3:16" x14ac:dyDescent="0.25">
      <c r="C71" s="10">
        <v>70</v>
      </c>
      <c r="D71" s="10">
        <v>73261338358</v>
      </c>
      <c r="E71" s="10" t="s">
        <v>842</v>
      </c>
      <c r="F71" s="10">
        <v>77</v>
      </c>
      <c r="G71" s="10">
        <v>124</v>
      </c>
      <c r="H71" s="10">
        <v>44</v>
      </c>
      <c r="I71" s="15">
        <v>78</v>
      </c>
      <c r="J71">
        <v>123.5</v>
      </c>
      <c r="K71">
        <v>42</v>
      </c>
      <c r="L71">
        <v>1</v>
      </c>
      <c r="M71">
        <v>-0.5</v>
      </c>
      <c r="N71">
        <v>-2</v>
      </c>
      <c r="O71">
        <v>-2</v>
      </c>
      <c r="P71" t="s">
        <v>1088</v>
      </c>
    </row>
    <row r="72" spans="3:16" x14ac:dyDescent="0.25">
      <c r="C72" s="10">
        <v>71</v>
      </c>
      <c r="D72" s="10">
        <v>73341062441</v>
      </c>
      <c r="E72" s="10" t="s">
        <v>843</v>
      </c>
      <c r="F72" s="10">
        <v>88</v>
      </c>
      <c r="G72" s="10">
        <v>136.5</v>
      </c>
      <c r="H72" s="10">
        <v>33</v>
      </c>
      <c r="I72" s="15">
        <v>78</v>
      </c>
      <c r="J72">
        <v>123.5</v>
      </c>
      <c r="K72">
        <v>42</v>
      </c>
      <c r="L72">
        <v>-10</v>
      </c>
      <c r="M72">
        <v>-13</v>
      </c>
      <c r="N72">
        <v>9</v>
      </c>
      <c r="O72">
        <v>-13</v>
      </c>
      <c r="P72" t="s">
        <v>1088</v>
      </c>
    </row>
    <row r="73" spans="3:16" x14ac:dyDescent="0.25">
      <c r="C73" s="10">
        <v>72</v>
      </c>
      <c r="D73" s="10">
        <v>73259900015</v>
      </c>
      <c r="E73" s="10" t="s">
        <v>844</v>
      </c>
      <c r="F73" s="10">
        <v>86</v>
      </c>
      <c r="G73" s="10">
        <v>133.5</v>
      </c>
      <c r="H73" s="10">
        <v>21</v>
      </c>
      <c r="I73" s="15">
        <v>78</v>
      </c>
      <c r="J73">
        <v>123.5</v>
      </c>
      <c r="K73">
        <v>42</v>
      </c>
      <c r="L73">
        <v>-8</v>
      </c>
      <c r="M73">
        <v>-10</v>
      </c>
      <c r="N73">
        <v>21</v>
      </c>
      <c r="O73">
        <v>-10</v>
      </c>
      <c r="P73" t="s">
        <v>1088</v>
      </c>
    </row>
    <row r="74" spans="3:16" x14ac:dyDescent="0.25">
      <c r="C74" s="10">
        <v>73</v>
      </c>
      <c r="D74" s="10">
        <v>73325125079</v>
      </c>
      <c r="E74" s="10" t="s">
        <v>845</v>
      </c>
      <c r="F74" s="10">
        <v>83</v>
      </c>
      <c r="G74" s="10">
        <v>130.5</v>
      </c>
      <c r="H74" s="10">
        <v>41</v>
      </c>
      <c r="I74" s="15">
        <v>78</v>
      </c>
      <c r="J74">
        <v>123.5</v>
      </c>
      <c r="K74">
        <v>42</v>
      </c>
      <c r="L74">
        <v>-5</v>
      </c>
      <c r="M74">
        <v>-7</v>
      </c>
      <c r="N74">
        <v>1</v>
      </c>
      <c r="O74">
        <v>-7</v>
      </c>
      <c r="P74" t="s">
        <v>1088</v>
      </c>
    </row>
    <row r="75" spans="3:16" x14ac:dyDescent="0.25">
      <c r="C75" s="10">
        <v>74</v>
      </c>
      <c r="D75" s="10">
        <v>73275366229</v>
      </c>
      <c r="E75" s="10" t="s">
        <v>846</v>
      </c>
      <c r="F75" s="10">
        <v>84</v>
      </c>
      <c r="G75" s="10">
        <v>129.5</v>
      </c>
      <c r="H75" s="10">
        <v>41</v>
      </c>
      <c r="I75" s="15">
        <v>78</v>
      </c>
      <c r="J75">
        <v>123.5</v>
      </c>
      <c r="K75">
        <v>42</v>
      </c>
      <c r="L75">
        <v>-6</v>
      </c>
      <c r="M75">
        <v>-6</v>
      </c>
      <c r="N75">
        <v>1</v>
      </c>
      <c r="O75">
        <v>-6</v>
      </c>
      <c r="P75" t="s">
        <v>1088</v>
      </c>
    </row>
    <row r="76" spans="3:16" x14ac:dyDescent="0.25">
      <c r="C76" s="10">
        <v>75</v>
      </c>
      <c r="D76" s="10">
        <v>73323596233</v>
      </c>
      <c r="E76" s="10" t="s">
        <v>847</v>
      </c>
      <c r="F76" s="10">
        <v>74</v>
      </c>
      <c r="G76" s="10">
        <v>115</v>
      </c>
      <c r="H76" s="10">
        <v>42</v>
      </c>
      <c r="I76" s="15">
        <v>78</v>
      </c>
      <c r="J76">
        <v>123.5</v>
      </c>
      <c r="K76">
        <v>42</v>
      </c>
      <c r="L76">
        <v>4</v>
      </c>
      <c r="M76">
        <v>8.5</v>
      </c>
      <c r="N76">
        <v>0</v>
      </c>
      <c r="O76">
        <v>0</v>
      </c>
      <c r="P76" t="s">
        <v>1088</v>
      </c>
    </row>
    <row r="77" spans="3:16" x14ac:dyDescent="0.25">
      <c r="C77" s="10">
        <v>76</v>
      </c>
      <c r="D77" s="10">
        <v>73265876309</v>
      </c>
      <c r="E77" s="10" t="s">
        <v>851</v>
      </c>
      <c r="F77" s="10">
        <v>73</v>
      </c>
      <c r="G77" s="10">
        <v>115</v>
      </c>
      <c r="H77" s="10">
        <v>27</v>
      </c>
      <c r="I77" s="15">
        <v>78</v>
      </c>
      <c r="J77">
        <v>123.5</v>
      </c>
      <c r="K77">
        <v>42</v>
      </c>
      <c r="L77">
        <v>5</v>
      </c>
      <c r="M77">
        <v>8.5</v>
      </c>
      <c r="N77">
        <v>15</v>
      </c>
      <c r="O77">
        <v>5</v>
      </c>
      <c r="P77" t="s">
        <v>1088</v>
      </c>
    </row>
    <row r="78" spans="3:16" x14ac:dyDescent="0.25">
      <c r="C78" s="10">
        <v>77</v>
      </c>
      <c r="D78" s="10">
        <v>73385089644</v>
      </c>
      <c r="E78" s="10" t="s">
        <v>852</v>
      </c>
      <c r="F78" s="10">
        <v>75</v>
      </c>
      <c r="G78" s="10">
        <v>120</v>
      </c>
      <c r="H78" s="10">
        <v>40</v>
      </c>
      <c r="I78" s="15">
        <v>78</v>
      </c>
      <c r="J78">
        <v>123.5</v>
      </c>
      <c r="K78">
        <v>42</v>
      </c>
      <c r="L78">
        <v>3</v>
      </c>
      <c r="M78">
        <v>3.5</v>
      </c>
      <c r="N78">
        <v>2</v>
      </c>
      <c r="O78">
        <v>2</v>
      </c>
      <c r="P78" t="s">
        <v>1088</v>
      </c>
    </row>
    <row r="79" spans="3:16" x14ac:dyDescent="0.25">
      <c r="C79" s="10">
        <v>78</v>
      </c>
      <c r="D79" s="10">
        <v>73308804814</v>
      </c>
      <c r="E79" s="10" t="s">
        <v>857</v>
      </c>
      <c r="F79" s="10">
        <v>75</v>
      </c>
      <c r="G79" s="10">
        <v>118</v>
      </c>
      <c r="H79" s="10">
        <v>49</v>
      </c>
      <c r="I79" s="15">
        <v>78</v>
      </c>
      <c r="J79">
        <v>123.5</v>
      </c>
      <c r="K79">
        <v>42</v>
      </c>
      <c r="L79">
        <v>3</v>
      </c>
      <c r="M79">
        <v>5.5</v>
      </c>
      <c r="N79">
        <v>-7</v>
      </c>
      <c r="O79">
        <v>-7</v>
      </c>
      <c r="P79" t="s">
        <v>1088</v>
      </c>
    </row>
    <row r="80" spans="3:16" x14ac:dyDescent="0.25">
      <c r="C80" s="10">
        <v>79</v>
      </c>
      <c r="D80" s="10">
        <v>73316183959</v>
      </c>
      <c r="E80" s="10" t="s">
        <v>861</v>
      </c>
      <c r="F80" s="10">
        <v>72</v>
      </c>
      <c r="G80" s="10">
        <v>114</v>
      </c>
      <c r="H80" s="10">
        <v>38</v>
      </c>
      <c r="I80" s="15">
        <v>78</v>
      </c>
      <c r="J80">
        <v>123.5</v>
      </c>
      <c r="K80">
        <v>42</v>
      </c>
      <c r="L80">
        <v>6</v>
      </c>
      <c r="M80">
        <v>9.5</v>
      </c>
      <c r="N80">
        <v>4</v>
      </c>
      <c r="O80">
        <v>4</v>
      </c>
      <c r="P80" t="s">
        <v>1088</v>
      </c>
    </row>
    <row r="81" spans="3:16" x14ac:dyDescent="0.25">
      <c r="C81" s="10">
        <v>80</v>
      </c>
      <c r="D81" s="10">
        <v>73369263523</v>
      </c>
      <c r="E81" s="10" t="s">
        <v>862</v>
      </c>
      <c r="F81" s="10">
        <v>75</v>
      </c>
      <c r="G81" s="10">
        <v>118.5</v>
      </c>
      <c r="H81" s="10">
        <v>43</v>
      </c>
      <c r="I81" s="15">
        <v>78</v>
      </c>
      <c r="J81">
        <v>123.5</v>
      </c>
      <c r="K81">
        <v>42</v>
      </c>
      <c r="L81">
        <v>3</v>
      </c>
      <c r="M81">
        <v>5</v>
      </c>
      <c r="N81">
        <v>-1</v>
      </c>
      <c r="O81">
        <v>-1</v>
      </c>
      <c r="P81" t="s">
        <v>1088</v>
      </c>
    </row>
    <row r="82" spans="3:16" x14ac:dyDescent="0.25">
      <c r="C82" s="10">
        <v>81</v>
      </c>
      <c r="D82" s="10">
        <v>73371440062</v>
      </c>
      <c r="E82" s="10" t="s">
        <v>864</v>
      </c>
      <c r="F82" s="10">
        <v>86</v>
      </c>
      <c r="G82" s="10">
        <v>131</v>
      </c>
      <c r="H82" s="10">
        <v>39</v>
      </c>
      <c r="I82" s="15">
        <v>78</v>
      </c>
      <c r="J82">
        <v>123.5</v>
      </c>
      <c r="K82">
        <v>42</v>
      </c>
      <c r="L82">
        <v>-8</v>
      </c>
      <c r="M82">
        <v>-7.5</v>
      </c>
      <c r="N82">
        <v>3</v>
      </c>
      <c r="O82">
        <v>-8</v>
      </c>
      <c r="P82" t="s">
        <v>1088</v>
      </c>
    </row>
    <row r="83" spans="3:16" x14ac:dyDescent="0.25">
      <c r="C83" s="10">
        <v>82</v>
      </c>
      <c r="D83" s="10">
        <v>73256524076</v>
      </c>
      <c r="E83" s="10" t="s">
        <v>865</v>
      </c>
      <c r="F83" s="10">
        <v>74</v>
      </c>
      <c r="G83" s="10">
        <v>119</v>
      </c>
      <c r="H83" s="10">
        <v>26</v>
      </c>
      <c r="I83" s="15">
        <v>78</v>
      </c>
      <c r="J83">
        <v>123.5</v>
      </c>
      <c r="K83">
        <v>42</v>
      </c>
      <c r="L83">
        <v>4</v>
      </c>
      <c r="M83">
        <v>4.5</v>
      </c>
      <c r="N83">
        <v>16</v>
      </c>
      <c r="O83">
        <v>4</v>
      </c>
      <c r="P83" t="s">
        <v>1088</v>
      </c>
    </row>
    <row r="84" spans="3:16" x14ac:dyDescent="0.25">
      <c r="C84" s="10">
        <v>83</v>
      </c>
      <c r="D84" s="10">
        <v>73281798032</v>
      </c>
      <c r="E84" s="10" t="s">
        <v>866</v>
      </c>
      <c r="F84" s="10">
        <v>73</v>
      </c>
      <c r="G84" s="10">
        <v>117</v>
      </c>
      <c r="H84" s="10">
        <v>46</v>
      </c>
      <c r="I84" s="15">
        <v>78</v>
      </c>
      <c r="J84">
        <v>123.5</v>
      </c>
      <c r="K84">
        <v>42</v>
      </c>
      <c r="L84">
        <v>5</v>
      </c>
      <c r="M84">
        <v>6.5</v>
      </c>
      <c r="N84">
        <v>-4</v>
      </c>
      <c r="O84">
        <v>-4</v>
      </c>
      <c r="P84" t="s">
        <v>1088</v>
      </c>
    </row>
    <row r="85" spans="3:16" x14ac:dyDescent="0.25">
      <c r="C85" s="10">
        <v>84</v>
      </c>
      <c r="D85" s="10">
        <v>73401366436</v>
      </c>
      <c r="E85" s="10" t="s">
        <v>867</v>
      </c>
      <c r="F85" s="10">
        <v>83</v>
      </c>
      <c r="G85" s="10">
        <v>128</v>
      </c>
      <c r="H85" s="10">
        <v>39</v>
      </c>
      <c r="I85" s="15">
        <v>78</v>
      </c>
      <c r="J85">
        <v>123.5</v>
      </c>
      <c r="K85">
        <v>42</v>
      </c>
      <c r="L85">
        <v>-5</v>
      </c>
      <c r="M85">
        <v>-4.5</v>
      </c>
      <c r="N85">
        <v>3</v>
      </c>
      <c r="O85">
        <v>-5</v>
      </c>
      <c r="P85" t="s">
        <v>1088</v>
      </c>
    </row>
    <row r="86" spans="3:16" x14ac:dyDescent="0.25">
      <c r="C86" s="10">
        <v>85</v>
      </c>
      <c r="D86" s="10">
        <v>84327992264</v>
      </c>
      <c r="E86" s="10" t="s">
        <v>871</v>
      </c>
      <c r="F86" s="10">
        <v>75</v>
      </c>
      <c r="G86" s="10">
        <v>118</v>
      </c>
      <c r="H86" s="10">
        <v>38</v>
      </c>
      <c r="I86" s="15">
        <v>78</v>
      </c>
      <c r="J86">
        <v>123.5</v>
      </c>
      <c r="K86">
        <v>42</v>
      </c>
      <c r="L86">
        <v>3</v>
      </c>
      <c r="M86">
        <v>5.5</v>
      </c>
      <c r="N86">
        <v>4</v>
      </c>
      <c r="O86">
        <v>3</v>
      </c>
      <c r="P86" t="s">
        <v>1088</v>
      </c>
    </row>
    <row r="87" spans="3:16" x14ac:dyDescent="0.25">
      <c r="C87" s="10">
        <v>86</v>
      </c>
      <c r="D87" s="10">
        <v>73397906008</v>
      </c>
      <c r="E87" s="10" t="s">
        <v>873</v>
      </c>
      <c r="F87" s="10">
        <v>91</v>
      </c>
      <c r="G87" s="10">
        <v>137.5</v>
      </c>
      <c r="H87" s="10">
        <v>26</v>
      </c>
      <c r="I87" s="15">
        <v>78</v>
      </c>
      <c r="J87">
        <v>123.5</v>
      </c>
      <c r="K87">
        <v>42</v>
      </c>
      <c r="L87">
        <v>-13</v>
      </c>
      <c r="M87">
        <v>-14</v>
      </c>
      <c r="N87">
        <v>16</v>
      </c>
      <c r="O87">
        <v>-14</v>
      </c>
      <c r="P87" t="s">
        <v>1088</v>
      </c>
    </row>
    <row r="88" spans="3:16" x14ac:dyDescent="0.25">
      <c r="C88" s="10">
        <v>87</v>
      </c>
      <c r="D88" s="10">
        <v>73384983402</v>
      </c>
      <c r="E88" s="10" t="s">
        <v>874</v>
      </c>
      <c r="F88" s="10">
        <v>74</v>
      </c>
      <c r="G88" s="10">
        <v>117.5</v>
      </c>
      <c r="H88" s="10">
        <v>44</v>
      </c>
      <c r="I88" s="15">
        <v>78</v>
      </c>
      <c r="J88">
        <v>123.5</v>
      </c>
      <c r="K88">
        <v>42</v>
      </c>
      <c r="L88">
        <v>4</v>
      </c>
      <c r="M88">
        <v>6</v>
      </c>
      <c r="N88">
        <v>-2</v>
      </c>
      <c r="O88">
        <v>-2</v>
      </c>
      <c r="P88" t="s">
        <v>1088</v>
      </c>
    </row>
    <row r="89" spans="3:16" x14ac:dyDescent="0.25">
      <c r="C89" s="10">
        <v>88</v>
      </c>
      <c r="D89" s="10">
        <v>73368764087</v>
      </c>
      <c r="E89" s="10" t="s">
        <v>875</v>
      </c>
      <c r="F89" s="10">
        <v>73</v>
      </c>
      <c r="G89" s="10">
        <v>117</v>
      </c>
      <c r="H89" s="10">
        <v>48</v>
      </c>
      <c r="I89" s="15">
        <v>78</v>
      </c>
      <c r="J89">
        <v>123.5</v>
      </c>
      <c r="K89">
        <v>42</v>
      </c>
      <c r="L89">
        <v>5</v>
      </c>
      <c r="M89">
        <v>6.5</v>
      </c>
      <c r="N89">
        <v>-6</v>
      </c>
      <c r="O89">
        <v>-6</v>
      </c>
      <c r="P89" t="s">
        <v>1088</v>
      </c>
    </row>
    <row r="90" spans="3:16" x14ac:dyDescent="0.25">
      <c r="C90" s="10">
        <v>89</v>
      </c>
      <c r="D90" s="10">
        <v>73385535506</v>
      </c>
      <c r="E90" s="10" t="s">
        <v>876</v>
      </c>
      <c r="F90" s="10">
        <v>73</v>
      </c>
      <c r="G90" s="10">
        <v>117</v>
      </c>
      <c r="H90" s="10">
        <v>46</v>
      </c>
      <c r="I90" s="15">
        <v>78</v>
      </c>
      <c r="J90">
        <v>123.5</v>
      </c>
      <c r="K90">
        <v>42</v>
      </c>
      <c r="L90">
        <v>5</v>
      </c>
      <c r="M90">
        <v>6.5</v>
      </c>
      <c r="N90">
        <v>-4</v>
      </c>
      <c r="O90">
        <v>-4</v>
      </c>
      <c r="P90" t="s">
        <v>1088</v>
      </c>
    </row>
    <row r="91" spans="3:16" x14ac:dyDescent="0.25">
      <c r="C91" s="10">
        <v>90</v>
      </c>
      <c r="D91" s="10">
        <v>73323250096</v>
      </c>
      <c r="E91" s="10" t="s">
        <v>883</v>
      </c>
      <c r="F91" s="10">
        <v>78</v>
      </c>
      <c r="G91" s="10">
        <v>122.5</v>
      </c>
      <c r="H91" s="10">
        <v>34</v>
      </c>
      <c r="I91" s="15">
        <v>78</v>
      </c>
      <c r="J91">
        <v>123.5</v>
      </c>
      <c r="K91">
        <v>42</v>
      </c>
      <c r="L91">
        <v>0</v>
      </c>
      <c r="M91">
        <v>1</v>
      </c>
      <c r="N91">
        <v>8</v>
      </c>
      <c r="O91">
        <v>0</v>
      </c>
      <c r="P91" t="s">
        <v>1088</v>
      </c>
    </row>
    <row r="92" spans="3:16" x14ac:dyDescent="0.25">
      <c r="C92" s="10">
        <v>91</v>
      </c>
      <c r="D92" s="10">
        <v>73355328582</v>
      </c>
      <c r="E92" s="10" t="s">
        <v>885</v>
      </c>
      <c r="F92" s="10">
        <v>80</v>
      </c>
      <c r="G92" s="10">
        <v>124.5</v>
      </c>
      <c r="H92" s="10">
        <v>39</v>
      </c>
      <c r="I92" s="15">
        <v>78</v>
      </c>
      <c r="J92">
        <v>123.5</v>
      </c>
      <c r="K92">
        <v>42</v>
      </c>
      <c r="L92">
        <v>-2</v>
      </c>
      <c r="M92">
        <v>-1</v>
      </c>
      <c r="N92">
        <v>3</v>
      </c>
      <c r="O92">
        <v>-2</v>
      </c>
      <c r="P92" t="s">
        <v>1088</v>
      </c>
    </row>
    <row r="93" spans="3:16" x14ac:dyDescent="0.25">
      <c r="C93" s="10">
        <v>92</v>
      </c>
      <c r="D93" s="10">
        <v>73331374169</v>
      </c>
      <c r="E93" s="10" t="s">
        <v>887</v>
      </c>
      <c r="F93" s="10">
        <v>83</v>
      </c>
      <c r="G93" s="10">
        <v>127</v>
      </c>
      <c r="H93" s="10">
        <v>41</v>
      </c>
      <c r="I93" s="15">
        <v>78</v>
      </c>
      <c r="J93">
        <v>123.5</v>
      </c>
      <c r="K93">
        <v>42</v>
      </c>
      <c r="L93">
        <v>-5</v>
      </c>
      <c r="M93">
        <v>-3.5</v>
      </c>
      <c r="N93">
        <v>1</v>
      </c>
      <c r="O93">
        <v>-5</v>
      </c>
      <c r="P93" t="s">
        <v>1088</v>
      </c>
    </row>
    <row r="94" spans="3:16" x14ac:dyDescent="0.25">
      <c r="C94" s="10">
        <v>93</v>
      </c>
      <c r="D94" s="10">
        <v>73334391350</v>
      </c>
      <c r="E94" s="10" t="s">
        <v>889</v>
      </c>
      <c r="F94" s="10">
        <v>72</v>
      </c>
      <c r="G94" s="10">
        <v>114</v>
      </c>
      <c r="H94" s="10">
        <v>48</v>
      </c>
      <c r="I94" s="15">
        <v>78</v>
      </c>
      <c r="J94">
        <v>123.5</v>
      </c>
      <c r="K94">
        <v>42</v>
      </c>
      <c r="L94">
        <v>6</v>
      </c>
      <c r="M94">
        <v>9.5</v>
      </c>
      <c r="N94">
        <v>-6</v>
      </c>
      <c r="O94">
        <v>-6</v>
      </c>
      <c r="P94" t="s">
        <v>1088</v>
      </c>
    </row>
    <row r="95" spans="3:16" x14ac:dyDescent="0.25">
      <c r="C95" s="10">
        <v>94</v>
      </c>
      <c r="D95" s="10">
        <v>73318100786</v>
      </c>
      <c r="E95" s="10" t="s">
        <v>890</v>
      </c>
      <c r="F95" s="10">
        <v>88</v>
      </c>
      <c r="G95" s="10">
        <v>136.5</v>
      </c>
      <c r="H95" s="10">
        <v>40</v>
      </c>
      <c r="I95" s="15">
        <v>78</v>
      </c>
      <c r="J95">
        <v>123.5</v>
      </c>
      <c r="K95">
        <v>42</v>
      </c>
      <c r="L95">
        <v>-10</v>
      </c>
      <c r="M95">
        <v>-13</v>
      </c>
      <c r="N95">
        <v>2</v>
      </c>
      <c r="O95">
        <v>-13</v>
      </c>
      <c r="P95" t="s">
        <v>1088</v>
      </c>
    </row>
    <row r="96" spans="3:16" x14ac:dyDescent="0.25">
      <c r="C96" s="10">
        <v>95</v>
      </c>
      <c r="D96" s="10">
        <v>73397548436</v>
      </c>
      <c r="E96" s="10" t="s">
        <v>891</v>
      </c>
      <c r="F96" s="10">
        <v>77</v>
      </c>
      <c r="G96" s="10">
        <v>119</v>
      </c>
      <c r="H96" s="10">
        <v>45</v>
      </c>
      <c r="I96" s="15">
        <v>78</v>
      </c>
      <c r="J96">
        <v>123.5</v>
      </c>
      <c r="K96">
        <v>42</v>
      </c>
      <c r="L96">
        <v>1</v>
      </c>
      <c r="M96">
        <v>4.5</v>
      </c>
      <c r="N96">
        <v>-3</v>
      </c>
      <c r="O96">
        <v>-3</v>
      </c>
      <c r="P96" t="s">
        <v>1088</v>
      </c>
    </row>
    <row r="97" spans="3:16" x14ac:dyDescent="0.25">
      <c r="C97" s="10">
        <v>96</v>
      </c>
      <c r="D97" s="10">
        <v>73295222262</v>
      </c>
      <c r="E97" s="10" t="s">
        <v>894</v>
      </c>
      <c r="F97" s="10">
        <v>86</v>
      </c>
      <c r="G97" s="10">
        <v>130.5</v>
      </c>
      <c r="H97" s="10">
        <v>39</v>
      </c>
      <c r="I97" s="15">
        <v>78</v>
      </c>
      <c r="J97">
        <v>123.5</v>
      </c>
      <c r="K97">
        <v>42</v>
      </c>
      <c r="L97">
        <v>-8</v>
      </c>
      <c r="M97">
        <v>-7</v>
      </c>
      <c r="N97">
        <v>3</v>
      </c>
      <c r="O97">
        <v>-8</v>
      </c>
      <c r="P97" t="s">
        <v>1088</v>
      </c>
    </row>
    <row r="98" spans="3:16" x14ac:dyDescent="0.25">
      <c r="C98" s="10">
        <v>97</v>
      </c>
      <c r="D98" s="10">
        <v>73356772818</v>
      </c>
      <c r="E98" s="10" t="s">
        <v>899</v>
      </c>
      <c r="F98" s="10">
        <v>84</v>
      </c>
      <c r="G98" s="10">
        <v>129.5</v>
      </c>
      <c r="H98" s="10">
        <v>33</v>
      </c>
      <c r="I98" s="15">
        <v>78</v>
      </c>
      <c r="J98">
        <v>123.5</v>
      </c>
      <c r="K98">
        <v>42</v>
      </c>
      <c r="L98">
        <v>-6</v>
      </c>
      <c r="M98">
        <v>-6</v>
      </c>
      <c r="N98">
        <v>9</v>
      </c>
      <c r="O98">
        <v>-6</v>
      </c>
      <c r="P98" t="s">
        <v>1088</v>
      </c>
    </row>
    <row r="99" spans="3:16" x14ac:dyDescent="0.25">
      <c r="C99" s="10">
        <v>98</v>
      </c>
      <c r="D99" s="10">
        <v>73323389935</v>
      </c>
      <c r="E99" s="10" t="s">
        <v>901</v>
      </c>
      <c r="F99" s="10">
        <v>75</v>
      </c>
      <c r="G99" s="10">
        <v>118</v>
      </c>
      <c r="H99" s="10">
        <v>22</v>
      </c>
      <c r="I99" s="15">
        <v>78</v>
      </c>
      <c r="J99">
        <v>123.5</v>
      </c>
      <c r="K99">
        <v>42</v>
      </c>
      <c r="L99">
        <v>3</v>
      </c>
      <c r="M99">
        <v>5.5</v>
      </c>
      <c r="N99">
        <v>20</v>
      </c>
      <c r="O99">
        <v>3</v>
      </c>
      <c r="P99" t="s">
        <v>1088</v>
      </c>
    </row>
    <row r="100" spans="3:16" x14ac:dyDescent="0.25">
      <c r="C100" s="10">
        <v>99</v>
      </c>
      <c r="D100" s="10">
        <v>73299733127</v>
      </c>
      <c r="E100" s="10" t="s">
        <v>902</v>
      </c>
      <c r="F100" s="10">
        <v>71</v>
      </c>
      <c r="G100" s="10">
        <v>115.5</v>
      </c>
      <c r="H100" s="10">
        <v>40</v>
      </c>
      <c r="I100" s="15">
        <v>78</v>
      </c>
      <c r="J100">
        <v>123.5</v>
      </c>
      <c r="K100">
        <v>42</v>
      </c>
      <c r="L100">
        <v>7</v>
      </c>
      <c r="M100">
        <v>8</v>
      </c>
      <c r="N100">
        <v>2</v>
      </c>
      <c r="O100">
        <v>2</v>
      </c>
      <c r="P100" t="s">
        <v>1088</v>
      </c>
    </row>
    <row r="101" spans="3:16" x14ac:dyDescent="0.25">
      <c r="C101" s="10">
        <v>100</v>
      </c>
      <c r="D101" s="10">
        <v>73401450182</v>
      </c>
      <c r="E101" s="10" t="s">
        <v>906</v>
      </c>
      <c r="F101" s="10">
        <v>87</v>
      </c>
      <c r="G101" s="10">
        <v>133.5</v>
      </c>
      <c r="H101" s="10">
        <v>34</v>
      </c>
      <c r="I101" s="15">
        <v>78</v>
      </c>
      <c r="J101">
        <v>123.5</v>
      </c>
      <c r="K101">
        <v>42</v>
      </c>
      <c r="L101">
        <v>-9</v>
      </c>
      <c r="M101">
        <v>-10</v>
      </c>
      <c r="N101">
        <v>8</v>
      </c>
      <c r="O101">
        <v>-10</v>
      </c>
      <c r="P101" t="s">
        <v>1088</v>
      </c>
    </row>
    <row r="102" spans="3:16" x14ac:dyDescent="0.25">
      <c r="C102" s="10">
        <v>101</v>
      </c>
      <c r="D102" s="10">
        <v>73312771433</v>
      </c>
      <c r="E102" s="10" t="s">
        <v>907</v>
      </c>
      <c r="F102" s="10">
        <v>73</v>
      </c>
      <c r="G102" s="10">
        <v>117</v>
      </c>
      <c r="H102" s="10">
        <v>40</v>
      </c>
      <c r="I102" s="15">
        <v>78</v>
      </c>
      <c r="J102">
        <v>123.5</v>
      </c>
      <c r="K102">
        <v>42</v>
      </c>
      <c r="L102">
        <v>5</v>
      </c>
      <c r="M102">
        <v>6.5</v>
      </c>
      <c r="N102">
        <v>2</v>
      </c>
      <c r="O102">
        <v>2</v>
      </c>
      <c r="P102" t="s">
        <v>1088</v>
      </c>
    </row>
    <row r="103" spans="3:16" x14ac:dyDescent="0.25">
      <c r="C103" s="10">
        <v>102</v>
      </c>
      <c r="D103" s="10">
        <v>73284090684</v>
      </c>
      <c r="E103" s="10" t="s">
        <v>910</v>
      </c>
      <c r="F103" s="10">
        <v>78</v>
      </c>
      <c r="G103" s="10">
        <v>122.5</v>
      </c>
      <c r="H103" s="10">
        <v>37</v>
      </c>
      <c r="I103" s="15">
        <v>78</v>
      </c>
      <c r="J103">
        <v>123.5</v>
      </c>
      <c r="K103">
        <v>42</v>
      </c>
      <c r="L103">
        <v>0</v>
      </c>
      <c r="M103">
        <v>1</v>
      </c>
      <c r="N103">
        <v>5</v>
      </c>
      <c r="O103">
        <v>0</v>
      </c>
      <c r="P103" t="s">
        <v>1088</v>
      </c>
    </row>
    <row r="104" spans="3:16" x14ac:dyDescent="0.25">
      <c r="C104" s="10">
        <v>103</v>
      </c>
      <c r="D104" s="10">
        <v>73270341290</v>
      </c>
      <c r="E104" s="10" t="s">
        <v>915</v>
      </c>
      <c r="F104" s="10">
        <v>86</v>
      </c>
      <c r="G104" s="10">
        <v>132.5</v>
      </c>
      <c r="H104" s="10">
        <v>33</v>
      </c>
      <c r="I104" s="15">
        <v>78</v>
      </c>
      <c r="J104">
        <v>123.5</v>
      </c>
      <c r="K104">
        <v>42</v>
      </c>
      <c r="L104">
        <v>-8</v>
      </c>
      <c r="M104">
        <v>-9</v>
      </c>
      <c r="N104">
        <v>9</v>
      </c>
      <c r="O104">
        <v>-9</v>
      </c>
      <c r="P104" t="s">
        <v>1088</v>
      </c>
    </row>
    <row r="105" spans="3:16" x14ac:dyDescent="0.25">
      <c r="C105" s="10">
        <v>104</v>
      </c>
      <c r="D105" s="10">
        <v>73356573897</v>
      </c>
      <c r="E105" s="10" t="s">
        <v>916</v>
      </c>
      <c r="F105" s="10">
        <v>70</v>
      </c>
      <c r="G105" s="10">
        <v>110.5</v>
      </c>
      <c r="H105" s="10">
        <v>39</v>
      </c>
      <c r="I105" s="15">
        <v>78</v>
      </c>
      <c r="J105">
        <v>123.5</v>
      </c>
      <c r="K105">
        <v>42</v>
      </c>
      <c r="L105">
        <v>8</v>
      </c>
      <c r="M105">
        <v>13</v>
      </c>
      <c r="N105">
        <v>3</v>
      </c>
      <c r="O105">
        <v>3</v>
      </c>
      <c r="P105" t="s">
        <v>1088</v>
      </c>
    </row>
    <row r="106" spans="3:16" x14ac:dyDescent="0.25">
      <c r="C106" s="10">
        <v>105</v>
      </c>
      <c r="D106" s="10">
        <v>73257502770</v>
      </c>
      <c r="E106" s="10" t="s">
        <v>917</v>
      </c>
      <c r="F106" s="10">
        <v>79</v>
      </c>
      <c r="G106" s="10">
        <v>125</v>
      </c>
      <c r="H106" s="10">
        <v>40</v>
      </c>
      <c r="I106" s="15">
        <v>78</v>
      </c>
      <c r="J106">
        <v>123.5</v>
      </c>
      <c r="K106">
        <v>42</v>
      </c>
      <c r="L106">
        <v>-1</v>
      </c>
      <c r="M106">
        <v>-1.5</v>
      </c>
      <c r="N106">
        <v>2</v>
      </c>
      <c r="O106">
        <v>-1.5</v>
      </c>
      <c r="P106" t="s">
        <v>1088</v>
      </c>
    </row>
    <row r="107" spans="3:16" x14ac:dyDescent="0.25">
      <c r="C107" s="10">
        <v>106</v>
      </c>
      <c r="D107" s="10">
        <v>73292151621</v>
      </c>
      <c r="E107" s="10" t="s">
        <v>918</v>
      </c>
      <c r="F107" s="10">
        <v>81</v>
      </c>
      <c r="G107" s="10">
        <v>125</v>
      </c>
      <c r="H107" s="10">
        <v>25</v>
      </c>
      <c r="I107" s="15">
        <v>78</v>
      </c>
      <c r="J107">
        <v>123.5</v>
      </c>
      <c r="K107">
        <v>42</v>
      </c>
      <c r="L107">
        <v>-3</v>
      </c>
      <c r="M107">
        <v>-1.5</v>
      </c>
      <c r="N107">
        <v>17</v>
      </c>
      <c r="O107">
        <v>-3</v>
      </c>
      <c r="P107" t="s">
        <v>1088</v>
      </c>
    </row>
    <row r="108" spans="3:16" x14ac:dyDescent="0.25">
      <c r="C108" s="10">
        <v>107</v>
      </c>
      <c r="D108" s="10">
        <v>73292090070</v>
      </c>
      <c r="E108" s="10" t="s">
        <v>919</v>
      </c>
      <c r="F108" s="10">
        <v>76</v>
      </c>
      <c r="G108" s="10">
        <v>123</v>
      </c>
      <c r="H108" s="10">
        <v>40</v>
      </c>
      <c r="I108" s="15">
        <v>78</v>
      </c>
      <c r="J108">
        <v>123.5</v>
      </c>
      <c r="K108">
        <v>42</v>
      </c>
      <c r="L108">
        <v>2</v>
      </c>
      <c r="M108">
        <v>0.5</v>
      </c>
      <c r="N108">
        <v>2</v>
      </c>
      <c r="O108">
        <v>0.5</v>
      </c>
      <c r="P108" t="s">
        <v>1088</v>
      </c>
    </row>
    <row r="109" spans="3:16" x14ac:dyDescent="0.25">
      <c r="C109" s="10">
        <v>108</v>
      </c>
      <c r="D109" s="10">
        <v>73411480550</v>
      </c>
      <c r="E109" s="10" t="s">
        <v>920</v>
      </c>
      <c r="F109" s="10">
        <v>77</v>
      </c>
      <c r="G109" s="10">
        <v>121.5</v>
      </c>
      <c r="H109" s="10">
        <v>44</v>
      </c>
      <c r="I109" s="15">
        <v>78</v>
      </c>
      <c r="J109">
        <v>123.5</v>
      </c>
      <c r="K109">
        <v>42</v>
      </c>
      <c r="L109">
        <v>1</v>
      </c>
      <c r="M109">
        <v>2</v>
      </c>
      <c r="N109">
        <v>-2</v>
      </c>
      <c r="O109">
        <v>-2</v>
      </c>
      <c r="P109" t="s">
        <v>1088</v>
      </c>
    </row>
    <row r="110" spans="3:16" x14ac:dyDescent="0.25">
      <c r="C110" s="10">
        <v>109</v>
      </c>
      <c r="D110" s="10">
        <v>73389647743</v>
      </c>
      <c r="E110" s="10" t="s">
        <v>922</v>
      </c>
      <c r="F110" s="10">
        <v>89</v>
      </c>
      <c r="G110" s="10">
        <v>135.5</v>
      </c>
      <c r="H110" s="10">
        <v>36</v>
      </c>
      <c r="I110" s="15">
        <v>78</v>
      </c>
      <c r="J110">
        <v>123.5</v>
      </c>
      <c r="K110">
        <v>42</v>
      </c>
      <c r="L110">
        <v>-11</v>
      </c>
      <c r="M110">
        <v>-12</v>
      </c>
      <c r="N110">
        <v>6</v>
      </c>
      <c r="O110">
        <v>-12</v>
      </c>
      <c r="P110" t="s">
        <v>1088</v>
      </c>
    </row>
    <row r="111" spans="3:16" x14ac:dyDescent="0.25">
      <c r="C111" s="10">
        <v>110</v>
      </c>
      <c r="D111" s="10">
        <v>73235007100</v>
      </c>
      <c r="E111" s="10" t="s">
        <v>924</v>
      </c>
      <c r="F111" s="10">
        <v>73</v>
      </c>
      <c r="G111" s="10">
        <v>113</v>
      </c>
      <c r="H111" s="10">
        <v>41</v>
      </c>
      <c r="I111" s="15">
        <v>78</v>
      </c>
      <c r="J111">
        <v>123.5</v>
      </c>
      <c r="K111">
        <v>42</v>
      </c>
      <c r="L111">
        <v>5</v>
      </c>
      <c r="M111">
        <v>10.5</v>
      </c>
      <c r="N111">
        <v>1</v>
      </c>
      <c r="O111">
        <v>1</v>
      </c>
      <c r="P111" t="s">
        <v>1088</v>
      </c>
    </row>
    <row r="112" spans="3:16" x14ac:dyDescent="0.25">
      <c r="C112" s="10">
        <v>111</v>
      </c>
      <c r="D112" s="10">
        <v>73256858188</v>
      </c>
      <c r="E112" s="10" t="s">
        <v>925</v>
      </c>
      <c r="F112" s="10">
        <v>80</v>
      </c>
      <c r="G112" s="10">
        <v>123</v>
      </c>
      <c r="H112" s="10">
        <v>38</v>
      </c>
      <c r="I112" s="15">
        <v>78</v>
      </c>
      <c r="J112">
        <v>123.5</v>
      </c>
      <c r="K112">
        <v>42</v>
      </c>
      <c r="L112">
        <v>-2</v>
      </c>
      <c r="M112">
        <v>0.5</v>
      </c>
      <c r="N112">
        <v>4</v>
      </c>
      <c r="O112">
        <v>-2</v>
      </c>
      <c r="P112" t="s">
        <v>1088</v>
      </c>
    </row>
    <row r="113" spans="3:16" x14ac:dyDescent="0.25">
      <c r="C113" s="10">
        <v>112</v>
      </c>
      <c r="D113" s="10">
        <v>73347264909</v>
      </c>
      <c r="E113" s="10" t="s">
        <v>926</v>
      </c>
      <c r="F113" s="10">
        <v>74</v>
      </c>
      <c r="G113" s="10">
        <v>119</v>
      </c>
      <c r="H113" s="10">
        <v>35</v>
      </c>
      <c r="I113" s="15">
        <v>78</v>
      </c>
      <c r="J113">
        <v>123.5</v>
      </c>
      <c r="K113">
        <v>42</v>
      </c>
      <c r="L113">
        <v>4</v>
      </c>
      <c r="M113">
        <v>4.5</v>
      </c>
      <c r="N113">
        <v>7</v>
      </c>
      <c r="O113">
        <v>4</v>
      </c>
      <c r="P113" t="s">
        <v>1088</v>
      </c>
    </row>
    <row r="114" spans="3:16" x14ac:dyDescent="0.25">
      <c r="C114" s="10">
        <v>113</v>
      </c>
      <c r="D114" s="10">
        <v>73285423777</v>
      </c>
      <c r="E114" s="10" t="s">
        <v>927</v>
      </c>
      <c r="F114" s="10">
        <v>83</v>
      </c>
      <c r="G114" s="10">
        <v>130</v>
      </c>
      <c r="H114" s="10">
        <v>40</v>
      </c>
      <c r="I114" s="15">
        <v>78</v>
      </c>
      <c r="J114">
        <v>123.5</v>
      </c>
      <c r="K114">
        <v>42</v>
      </c>
      <c r="L114">
        <v>-5</v>
      </c>
      <c r="M114">
        <v>-6.5</v>
      </c>
      <c r="N114">
        <v>2</v>
      </c>
      <c r="O114">
        <v>-6.5</v>
      </c>
      <c r="P114" t="s">
        <v>1088</v>
      </c>
    </row>
    <row r="115" spans="3:16" x14ac:dyDescent="0.25">
      <c r="C115" s="10">
        <v>114</v>
      </c>
      <c r="D115" s="10">
        <v>73257505502</v>
      </c>
      <c r="E115" s="10" t="s">
        <v>931</v>
      </c>
      <c r="F115" s="10">
        <v>85</v>
      </c>
      <c r="G115" s="10">
        <v>131.5</v>
      </c>
      <c r="H115" s="10">
        <v>39</v>
      </c>
      <c r="I115" s="15">
        <v>78</v>
      </c>
      <c r="J115">
        <v>123.5</v>
      </c>
      <c r="K115">
        <v>42</v>
      </c>
      <c r="L115">
        <v>-7</v>
      </c>
      <c r="M115">
        <v>-8</v>
      </c>
      <c r="N115">
        <v>3</v>
      </c>
      <c r="O115">
        <v>-8</v>
      </c>
      <c r="P115" t="s">
        <v>1088</v>
      </c>
    </row>
    <row r="116" spans="3:16" x14ac:dyDescent="0.25">
      <c r="C116" s="10">
        <v>115</v>
      </c>
      <c r="D116" s="10">
        <v>73282593693</v>
      </c>
      <c r="E116" s="10" t="s">
        <v>932</v>
      </c>
      <c r="F116" s="10">
        <v>82</v>
      </c>
      <c r="G116" s="10">
        <v>130.5</v>
      </c>
      <c r="H116" s="10">
        <v>26</v>
      </c>
      <c r="I116" s="15">
        <v>78</v>
      </c>
      <c r="J116">
        <v>123.5</v>
      </c>
      <c r="K116">
        <v>42</v>
      </c>
      <c r="L116">
        <v>-4</v>
      </c>
      <c r="M116">
        <v>-7</v>
      </c>
      <c r="N116">
        <v>16</v>
      </c>
      <c r="O116">
        <v>-7</v>
      </c>
      <c r="P116" t="s">
        <v>1088</v>
      </c>
    </row>
    <row r="117" spans="3:16" x14ac:dyDescent="0.25">
      <c r="C117" s="10">
        <v>116</v>
      </c>
      <c r="D117" s="10">
        <v>73305959618</v>
      </c>
      <c r="E117" s="10" t="s">
        <v>934</v>
      </c>
      <c r="F117" s="10">
        <v>76</v>
      </c>
      <c r="G117" s="10">
        <v>120</v>
      </c>
      <c r="H117" s="10">
        <v>39</v>
      </c>
      <c r="I117" s="15">
        <v>78</v>
      </c>
      <c r="J117">
        <v>123.5</v>
      </c>
      <c r="K117">
        <v>42</v>
      </c>
      <c r="L117">
        <v>2</v>
      </c>
      <c r="M117">
        <v>3.5</v>
      </c>
      <c r="N117">
        <v>3</v>
      </c>
      <c r="O117">
        <v>2</v>
      </c>
      <c r="P117" t="s">
        <v>1088</v>
      </c>
    </row>
    <row r="118" spans="3:16" x14ac:dyDescent="0.25">
      <c r="C118" s="10">
        <v>117</v>
      </c>
      <c r="D118" s="10">
        <v>73282703258</v>
      </c>
      <c r="E118" s="10" t="s">
        <v>935</v>
      </c>
      <c r="F118" s="10">
        <v>75</v>
      </c>
      <c r="G118" s="10">
        <v>120</v>
      </c>
      <c r="H118" s="10">
        <v>36</v>
      </c>
      <c r="I118" s="15">
        <v>78</v>
      </c>
      <c r="J118">
        <v>123.5</v>
      </c>
      <c r="K118">
        <v>42</v>
      </c>
      <c r="L118">
        <v>3</v>
      </c>
      <c r="M118">
        <v>3.5</v>
      </c>
      <c r="N118">
        <v>6</v>
      </c>
      <c r="O118">
        <v>3</v>
      </c>
      <c r="P118" t="s">
        <v>1088</v>
      </c>
    </row>
    <row r="119" spans="3:16" x14ac:dyDescent="0.25">
      <c r="C119" s="10">
        <v>118</v>
      </c>
      <c r="D119" s="10">
        <v>73306136768</v>
      </c>
      <c r="E119" s="10" t="s">
        <v>936</v>
      </c>
      <c r="F119" s="10">
        <v>73</v>
      </c>
      <c r="G119" s="10">
        <v>113.5</v>
      </c>
      <c r="H119" s="10">
        <v>42</v>
      </c>
      <c r="I119" s="15">
        <v>78</v>
      </c>
      <c r="J119">
        <v>123.5</v>
      </c>
      <c r="K119">
        <v>42</v>
      </c>
      <c r="L119">
        <v>5</v>
      </c>
      <c r="M119">
        <v>10</v>
      </c>
      <c r="N119">
        <v>0</v>
      </c>
      <c r="O119">
        <v>0</v>
      </c>
      <c r="P119" t="s">
        <v>1088</v>
      </c>
    </row>
    <row r="120" spans="3:16" x14ac:dyDescent="0.25">
      <c r="C120" s="10">
        <v>119</v>
      </c>
      <c r="D120" s="10">
        <v>73256859908</v>
      </c>
      <c r="E120" s="10" t="s">
        <v>937</v>
      </c>
      <c r="F120" s="10">
        <v>76</v>
      </c>
      <c r="G120" s="10">
        <v>120.5</v>
      </c>
      <c r="H120" s="10">
        <v>36</v>
      </c>
      <c r="I120" s="15">
        <v>78</v>
      </c>
      <c r="J120">
        <v>123.5</v>
      </c>
      <c r="K120">
        <v>42</v>
      </c>
      <c r="L120">
        <v>2</v>
      </c>
      <c r="M120">
        <v>3</v>
      </c>
      <c r="N120">
        <v>6</v>
      </c>
      <c r="O120">
        <v>2</v>
      </c>
      <c r="P120" t="s">
        <v>1088</v>
      </c>
    </row>
    <row r="121" spans="3:16" x14ac:dyDescent="0.25">
      <c r="C121" s="10">
        <v>120</v>
      </c>
      <c r="D121" s="10">
        <v>73356138760</v>
      </c>
      <c r="E121" s="10" t="s">
        <v>942</v>
      </c>
      <c r="F121" s="10">
        <v>76</v>
      </c>
      <c r="G121" s="10">
        <v>121.5</v>
      </c>
      <c r="H121" s="10">
        <v>45</v>
      </c>
      <c r="I121" s="15">
        <v>78</v>
      </c>
      <c r="J121">
        <v>123.5</v>
      </c>
      <c r="K121">
        <v>42</v>
      </c>
      <c r="L121">
        <v>2</v>
      </c>
      <c r="M121">
        <v>2</v>
      </c>
      <c r="N121">
        <v>-3</v>
      </c>
      <c r="O121">
        <v>-3</v>
      </c>
      <c r="P121" t="s">
        <v>1088</v>
      </c>
    </row>
    <row r="122" spans="3:16" x14ac:dyDescent="0.25">
      <c r="C122" s="10">
        <v>121</v>
      </c>
      <c r="D122" s="10">
        <v>73336813987</v>
      </c>
      <c r="E122" s="10" t="s">
        <v>949</v>
      </c>
      <c r="F122" s="10">
        <v>73</v>
      </c>
      <c r="G122" s="10">
        <v>117</v>
      </c>
      <c r="H122" s="10">
        <v>46</v>
      </c>
      <c r="I122" s="15">
        <v>78</v>
      </c>
      <c r="J122">
        <v>123.5</v>
      </c>
      <c r="K122">
        <v>42</v>
      </c>
      <c r="L122">
        <v>5</v>
      </c>
      <c r="M122">
        <v>6.5</v>
      </c>
      <c r="N122">
        <v>-4</v>
      </c>
      <c r="O122">
        <v>-4</v>
      </c>
      <c r="P122" t="s">
        <v>1088</v>
      </c>
    </row>
    <row r="123" spans="3:16" x14ac:dyDescent="0.25">
      <c r="C123" s="10">
        <v>122</v>
      </c>
      <c r="D123" s="10">
        <v>73340859810</v>
      </c>
      <c r="E123" s="10" t="s">
        <v>955</v>
      </c>
      <c r="F123" s="10">
        <v>71</v>
      </c>
      <c r="G123" s="10">
        <v>113</v>
      </c>
      <c r="H123" s="10">
        <v>42</v>
      </c>
      <c r="I123" s="15">
        <v>78</v>
      </c>
      <c r="J123">
        <v>123.5</v>
      </c>
      <c r="K123">
        <v>42</v>
      </c>
      <c r="L123">
        <v>7</v>
      </c>
      <c r="M123">
        <v>10.5</v>
      </c>
      <c r="N123">
        <v>0</v>
      </c>
      <c r="O123">
        <v>0</v>
      </c>
      <c r="P123" t="s">
        <v>1088</v>
      </c>
    </row>
    <row r="124" spans="3:16" x14ac:dyDescent="0.25">
      <c r="C124" s="10">
        <v>123</v>
      </c>
      <c r="D124" s="10">
        <v>73326126580</v>
      </c>
      <c r="E124" s="10" t="s">
        <v>956</v>
      </c>
      <c r="F124" s="10">
        <v>78</v>
      </c>
      <c r="G124" s="10">
        <v>122</v>
      </c>
      <c r="H124" s="10">
        <v>44</v>
      </c>
      <c r="I124" s="15">
        <v>78</v>
      </c>
      <c r="J124">
        <v>123.5</v>
      </c>
      <c r="K124">
        <v>42</v>
      </c>
      <c r="L124">
        <v>0</v>
      </c>
      <c r="M124">
        <v>1.5</v>
      </c>
      <c r="N124">
        <v>-2</v>
      </c>
      <c r="O124">
        <v>-2</v>
      </c>
      <c r="P124" t="s">
        <v>1088</v>
      </c>
    </row>
    <row r="125" spans="3:16" x14ac:dyDescent="0.25">
      <c r="C125" s="10">
        <v>124</v>
      </c>
      <c r="D125" s="10">
        <v>73387949727</v>
      </c>
      <c r="E125" s="10" t="s">
        <v>957</v>
      </c>
      <c r="F125" s="10">
        <v>72</v>
      </c>
      <c r="G125" s="10">
        <v>115</v>
      </c>
      <c r="H125" s="10">
        <v>48</v>
      </c>
      <c r="I125" s="15">
        <v>78</v>
      </c>
      <c r="J125">
        <v>123.5</v>
      </c>
      <c r="K125">
        <v>42</v>
      </c>
      <c r="L125">
        <v>6</v>
      </c>
      <c r="M125">
        <v>8.5</v>
      </c>
      <c r="N125">
        <v>-6</v>
      </c>
      <c r="O125">
        <v>-6</v>
      </c>
      <c r="P125" t="s">
        <v>1088</v>
      </c>
    </row>
    <row r="126" spans="3:16" x14ac:dyDescent="0.25">
      <c r="C126" s="10">
        <v>125</v>
      </c>
      <c r="D126" s="10">
        <v>73286629346</v>
      </c>
      <c r="E126" s="10" t="s">
        <v>961</v>
      </c>
      <c r="F126" s="10">
        <v>75</v>
      </c>
      <c r="G126" s="10">
        <v>117</v>
      </c>
      <c r="H126" s="10">
        <v>50</v>
      </c>
      <c r="I126" s="15">
        <v>78</v>
      </c>
      <c r="J126">
        <v>123.5</v>
      </c>
      <c r="K126">
        <v>42</v>
      </c>
      <c r="L126">
        <v>3</v>
      </c>
      <c r="M126">
        <v>6.5</v>
      </c>
      <c r="N126">
        <v>-8</v>
      </c>
      <c r="O126">
        <v>-8</v>
      </c>
      <c r="P126" t="s">
        <v>1088</v>
      </c>
    </row>
    <row r="127" spans="3:16" x14ac:dyDescent="0.25">
      <c r="C127" s="10">
        <v>126</v>
      </c>
      <c r="D127" s="10">
        <v>73319986036</v>
      </c>
      <c r="E127" s="10" t="s">
        <v>962</v>
      </c>
      <c r="F127" s="10">
        <v>74</v>
      </c>
      <c r="G127" s="10">
        <v>117</v>
      </c>
      <c r="H127" s="10">
        <v>50</v>
      </c>
      <c r="I127" s="15">
        <v>78</v>
      </c>
      <c r="J127">
        <v>123.5</v>
      </c>
      <c r="K127">
        <v>42</v>
      </c>
      <c r="L127">
        <v>4</v>
      </c>
      <c r="M127">
        <v>6.5</v>
      </c>
      <c r="N127">
        <v>-8</v>
      </c>
      <c r="O127">
        <v>-8</v>
      </c>
      <c r="P127" t="s">
        <v>1088</v>
      </c>
    </row>
    <row r="128" spans="3:16" x14ac:dyDescent="0.25">
      <c r="C128" s="10">
        <v>127</v>
      </c>
      <c r="D128" s="10">
        <v>73268772489</v>
      </c>
      <c r="E128" s="10" t="s">
        <v>964</v>
      </c>
      <c r="F128" s="10">
        <v>84</v>
      </c>
      <c r="G128" s="10">
        <v>131</v>
      </c>
      <c r="H128" s="10">
        <v>41</v>
      </c>
      <c r="I128" s="15">
        <v>78</v>
      </c>
      <c r="J128">
        <v>123.5</v>
      </c>
      <c r="K128">
        <v>42</v>
      </c>
      <c r="L128">
        <v>-6</v>
      </c>
      <c r="M128">
        <v>-7.5</v>
      </c>
      <c r="N128">
        <v>1</v>
      </c>
      <c r="O128">
        <v>-7.5</v>
      </c>
      <c r="P128" t="s">
        <v>1088</v>
      </c>
    </row>
    <row r="129" spans="3:16" x14ac:dyDescent="0.25">
      <c r="C129" s="10">
        <v>128</v>
      </c>
      <c r="D129" s="10">
        <v>73355313436</v>
      </c>
      <c r="E129" s="10" t="s">
        <v>965</v>
      </c>
      <c r="F129" s="10">
        <v>90</v>
      </c>
      <c r="G129" s="10">
        <v>138</v>
      </c>
      <c r="H129" s="10">
        <v>25</v>
      </c>
      <c r="I129" s="15">
        <v>78</v>
      </c>
      <c r="J129">
        <v>123.5</v>
      </c>
      <c r="K129">
        <v>42</v>
      </c>
      <c r="L129">
        <v>-12</v>
      </c>
      <c r="M129">
        <v>-14.5</v>
      </c>
      <c r="N129">
        <v>17</v>
      </c>
      <c r="O129">
        <v>-14.5</v>
      </c>
      <c r="P129" t="s">
        <v>1088</v>
      </c>
    </row>
    <row r="130" spans="3:16" x14ac:dyDescent="0.25">
      <c r="C130" s="10">
        <v>129</v>
      </c>
      <c r="D130" s="10">
        <v>73322210775</v>
      </c>
      <c r="E130" s="10" t="s">
        <v>966</v>
      </c>
      <c r="F130" s="10">
        <v>80</v>
      </c>
      <c r="G130" s="10">
        <v>128.5</v>
      </c>
      <c r="H130" s="10">
        <v>15</v>
      </c>
      <c r="I130" s="15">
        <v>78</v>
      </c>
      <c r="J130">
        <v>123.5</v>
      </c>
      <c r="K130">
        <v>42</v>
      </c>
      <c r="L130">
        <v>-2</v>
      </c>
      <c r="M130">
        <v>-5</v>
      </c>
      <c r="N130">
        <v>27</v>
      </c>
      <c r="O130">
        <v>-5</v>
      </c>
      <c r="P130" t="s">
        <v>1088</v>
      </c>
    </row>
    <row r="131" spans="3:16" x14ac:dyDescent="0.25">
      <c r="C131" s="10">
        <v>130</v>
      </c>
      <c r="D131" s="10">
        <v>73325977506</v>
      </c>
      <c r="E131" s="10" t="s">
        <v>967</v>
      </c>
      <c r="F131" s="10">
        <v>81</v>
      </c>
      <c r="G131" s="10">
        <v>126.5</v>
      </c>
      <c r="H131" s="10">
        <v>40</v>
      </c>
      <c r="I131" s="15">
        <v>78</v>
      </c>
      <c r="J131">
        <v>123.5</v>
      </c>
      <c r="K131">
        <v>42</v>
      </c>
      <c r="L131">
        <v>-3</v>
      </c>
      <c r="M131">
        <v>-3</v>
      </c>
      <c r="N131">
        <v>2</v>
      </c>
      <c r="O131">
        <v>-3</v>
      </c>
      <c r="P131" t="s">
        <v>1088</v>
      </c>
    </row>
    <row r="132" spans="3:16" x14ac:dyDescent="0.25">
      <c r="C132" s="10">
        <v>131</v>
      </c>
      <c r="D132" s="10">
        <v>73281854982</v>
      </c>
      <c r="E132" s="10" t="s">
        <v>969</v>
      </c>
      <c r="F132" s="10">
        <v>74</v>
      </c>
      <c r="G132" s="10">
        <v>116</v>
      </c>
      <c r="H132" s="10">
        <v>35</v>
      </c>
      <c r="I132" s="15">
        <v>78</v>
      </c>
      <c r="J132">
        <v>123.5</v>
      </c>
      <c r="K132">
        <v>42</v>
      </c>
      <c r="L132">
        <v>4</v>
      </c>
      <c r="M132">
        <v>7.5</v>
      </c>
      <c r="N132">
        <v>7</v>
      </c>
      <c r="O132">
        <v>4</v>
      </c>
      <c r="P132" t="s">
        <v>1088</v>
      </c>
    </row>
    <row r="133" spans="3:16" x14ac:dyDescent="0.25">
      <c r="C133" s="10">
        <v>132</v>
      </c>
      <c r="D133" s="10">
        <v>73257691604</v>
      </c>
      <c r="E133" s="10" t="s">
        <v>970</v>
      </c>
      <c r="F133" s="10">
        <v>70</v>
      </c>
      <c r="G133" s="10">
        <v>110</v>
      </c>
      <c r="H133" s="10">
        <v>41</v>
      </c>
      <c r="I133" s="15">
        <v>78</v>
      </c>
      <c r="J133">
        <v>123.5</v>
      </c>
      <c r="K133">
        <v>42</v>
      </c>
      <c r="L133">
        <v>8</v>
      </c>
      <c r="M133">
        <v>13.5</v>
      </c>
      <c r="N133">
        <v>1</v>
      </c>
      <c r="O133">
        <v>1</v>
      </c>
      <c r="P133" t="s">
        <v>1088</v>
      </c>
    </row>
    <row r="134" spans="3:16" x14ac:dyDescent="0.25">
      <c r="C134" s="10">
        <v>133</v>
      </c>
      <c r="D134" s="10">
        <v>73331237938</v>
      </c>
      <c r="E134" s="10" t="s">
        <v>974</v>
      </c>
      <c r="F134" s="10">
        <v>81</v>
      </c>
      <c r="G134" s="10">
        <v>125</v>
      </c>
      <c r="H134" s="10">
        <v>42</v>
      </c>
      <c r="I134" s="15">
        <v>78</v>
      </c>
      <c r="J134">
        <v>123.5</v>
      </c>
      <c r="K134">
        <v>42</v>
      </c>
      <c r="L134">
        <v>-3</v>
      </c>
      <c r="M134">
        <v>-1.5</v>
      </c>
      <c r="N134">
        <v>0</v>
      </c>
      <c r="O134">
        <v>-3</v>
      </c>
      <c r="P134" t="s">
        <v>1088</v>
      </c>
    </row>
    <row r="135" spans="3:16" x14ac:dyDescent="0.25">
      <c r="C135" s="10">
        <v>134</v>
      </c>
      <c r="D135" s="10">
        <v>73333172805</v>
      </c>
      <c r="E135" s="10" t="s">
        <v>975</v>
      </c>
      <c r="F135" s="10">
        <v>79</v>
      </c>
      <c r="G135" s="10">
        <v>123</v>
      </c>
      <c r="H135" s="10">
        <v>41</v>
      </c>
      <c r="I135" s="15">
        <v>78</v>
      </c>
      <c r="J135">
        <v>123.5</v>
      </c>
      <c r="K135">
        <v>42</v>
      </c>
      <c r="L135">
        <v>-1</v>
      </c>
      <c r="M135">
        <v>0.5</v>
      </c>
      <c r="N135">
        <v>1</v>
      </c>
      <c r="O135">
        <v>-1</v>
      </c>
      <c r="P135" t="s">
        <v>1088</v>
      </c>
    </row>
    <row r="136" spans="3:16" x14ac:dyDescent="0.25">
      <c r="C136" s="10">
        <v>135</v>
      </c>
      <c r="D136" s="10">
        <v>73354118894</v>
      </c>
      <c r="E136" s="10" t="s">
        <v>976</v>
      </c>
      <c r="F136" s="10">
        <v>82</v>
      </c>
      <c r="G136" s="10">
        <v>128.5</v>
      </c>
      <c r="H136" s="10">
        <v>39</v>
      </c>
      <c r="I136" s="15">
        <v>78</v>
      </c>
      <c r="J136">
        <v>123.5</v>
      </c>
      <c r="K136">
        <v>42</v>
      </c>
      <c r="L136">
        <v>-4</v>
      </c>
      <c r="M136">
        <v>-5</v>
      </c>
      <c r="N136">
        <v>3</v>
      </c>
      <c r="O136">
        <v>-5</v>
      </c>
      <c r="P136" t="s">
        <v>1088</v>
      </c>
    </row>
    <row r="137" spans="3:16" x14ac:dyDescent="0.25">
      <c r="C137" s="10">
        <v>136</v>
      </c>
      <c r="D137" s="10">
        <v>73355342812</v>
      </c>
      <c r="E137" s="10" t="s">
        <v>977</v>
      </c>
      <c r="F137" s="10">
        <v>77</v>
      </c>
      <c r="G137" s="10">
        <v>119</v>
      </c>
      <c r="H137" s="10">
        <v>35</v>
      </c>
      <c r="I137" s="15">
        <v>78</v>
      </c>
      <c r="J137">
        <v>123.5</v>
      </c>
      <c r="K137">
        <v>42</v>
      </c>
      <c r="L137">
        <v>1</v>
      </c>
      <c r="M137">
        <v>4.5</v>
      </c>
      <c r="N137">
        <v>7</v>
      </c>
      <c r="O137">
        <v>1</v>
      </c>
      <c r="P137" t="s">
        <v>1088</v>
      </c>
    </row>
    <row r="138" spans="3:16" x14ac:dyDescent="0.25">
      <c r="C138" s="10">
        <v>137</v>
      </c>
      <c r="D138" s="10">
        <v>73394174584</v>
      </c>
      <c r="E138" s="10" t="s">
        <v>978</v>
      </c>
      <c r="F138" s="10">
        <v>93</v>
      </c>
      <c r="G138" s="10">
        <v>140</v>
      </c>
      <c r="H138" s="10">
        <v>25</v>
      </c>
      <c r="I138" s="15">
        <v>78</v>
      </c>
      <c r="J138">
        <v>123.5</v>
      </c>
      <c r="K138">
        <v>42</v>
      </c>
      <c r="L138">
        <v>-15</v>
      </c>
      <c r="M138">
        <v>-16.5</v>
      </c>
      <c r="N138">
        <v>17</v>
      </c>
      <c r="O138">
        <v>-16.5</v>
      </c>
      <c r="P138" t="s">
        <v>1088</v>
      </c>
    </row>
    <row r="139" spans="3:16" x14ac:dyDescent="0.25">
      <c r="C139" s="10">
        <v>138</v>
      </c>
      <c r="D139" s="10">
        <v>73281691733</v>
      </c>
      <c r="E139" s="10" t="s">
        <v>979</v>
      </c>
      <c r="F139" s="10">
        <v>93</v>
      </c>
      <c r="G139" s="10">
        <v>142</v>
      </c>
      <c r="H139" s="10">
        <v>30</v>
      </c>
      <c r="I139" s="15">
        <v>78</v>
      </c>
      <c r="J139">
        <v>123.5</v>
      </c>
      <c r="K139">
        <v>42</v>
      </c>
      <c r="L139">
        <v>-15</v>
      </c>
      <c r="M139">
        <v>-18.5</v>
      </c>
      <c r="N139">
        <v>12</v>
      </c>
      <c r="O139">
        <v>-18.5</v>
      </c>
      <c r="P139" t="s">
        <v>1088</v>
      </c>
    </row>
    <row r="140" spans="3:16" x14ac:dyDescent="0.25">
      <c r="C140" s="10">
        <v>139</v>
      </c>
      <c r="D140" s="10">
        <v>73336284663</v>
      </c>
      <c r="E140" s="10" t="s">
        <v>981</v>
      </c>
      <c r="F140" s="10">
        <v>78</v>
      </c>
      <c r="G140" s="10">
        <v>120</v>
      </c>
      <c r="H140" s="10">
        <v>42</v>
      </c>
      <c r="I140" s="15">
        <v>78</v>
      </c>
      <c r="J140">
        <v>123.5</v>
      </c>
      <c r="K140">
        <v>42</v>
      </c>
      <c r="L140">
        <v>0</v>
      </c>
      <c r="M140">
        <v>3.5</v>
      </c>
      <c r="N140">
        <v>0</v>
      </c>
      <c r="O140">
        <v>0</v>
      </c>
      <c r="P140" t="s">
        <v>1088</v>
      </c>
    </row>
    <row r="141" spans="3:16" x14ac:dyDescent="0.25">
      <c r="C141" s="10">
        <v>140</v>
      </c>
      <c r="D141" s="10">
        <v>73282168803</v>
      </c>
      <c r="E141" s="10" t="s">
        <v>986</v>
      </c>
      <c r="F141" s="10">
        <v>77</v>
      </c>
      <c r="G141" s="10">
        <v>120</v>
      </c>
      <c r="H141" s="10">
        <v>46</v>
      </c>
      <c r="I141" s="15">
        <v>78</v>
      </c>
      <c r="J141">
        <v>123.5</v>
      </c>
      <c r="K141">
        <v>42</v>
      </c>
      <c r="L141">
        <v>1</v>
      </c>
      <c r="M141">
        <v>3.5</v>
      </c>
      <c r="N141">
        <v>-4</v>
      </c>
      <c r="O141">
        <v>-4</v>
      </c>
      <c r="P141" t="s">
        <v>1088</v>
      </c>
    </row>
    <row r="142" spans="3:16" x14ac:dyDescent="0.25">
      <c r="C142" s="10">
        <v>141</v>
      </c>
      <c r="D142" s="10">
        <v>73278536681</v>
      </c>
      <c r="E142" s="10" t="s">
        <v>988</v>
      </c>
      <c r="F142" s="10">
        <v>75</v>
      </c>
      <c r="G142" s="10">
        <v>118.5</v>
      </c>
      <c r="H142" s="10">
        <v>35</v>
      </c>
      <c r="I142" s="15">
        <v>78</v>
      </c>
      <c r="J142">
        <v>123.5</v>
      </c>
      <c r="K142">
        <v>42</v>
      </c>
      <c r="L142">
        <v>3</v>
      </c>
      <c r="M142">
        <v>5</v>
      </c>
      <c r="N142">
        <v>7</v>
      </c>
      <c r="O142">
        <v>3</v>
      </c>
      <c r="P142" t="s">
        <v>1088</v>
      </c>
    </row>
    <row r="143" spans="3:16" x14ac:dyDescent="0.25">
      <c r="C143" s="10">
        <v>142</v>
      </c>
      <c r="D143" s="10">
        <v>73272227179</v>
      </c>
      <c r="E143" s="10" t="s">
        <v>989</v>
      </c>
      <c r="F143" s="10">
        <v>81</v>
      </c>
      <c r="G143" s="10">
        <v>125</v>
      </c>
      <c r="H143" s="10">
        <v>45</v>
      </c>
      <c r="I143" s="15">
        <v>78</v>
      </c>
      <c r="J143">
        <v>123.5</v>
      </c>
      <c r="K143">
        <v>42</v>
      </c>
      <c r="L143">
        <v>-3</v>
      </c>
      <c r="M143">
        <v>-1.5</v>
      </c>
      <c r="N143">
        <v>-3</v>
      </c>
      <c r="O143">
        <v>-3</v>
      </c>
      <c r="P143" t="s">
        <v>1088</v>
      </c>
    </row>
    <row r="144" spans="3:16" x14ac:dyDescent="0.25">
      <c r="C144" s="10">
        <v>143</v>
      </c>
      <c r="D144" s="10">
        <v>73385552866</v>
      </c>
      <c r="E144" s="10" t="s">
        <v>995</v>
      </c>
      <c r="F144" s="10">
        <v>86</v>
      </c>
      <c r="G144" s="10">
        <v>132</v>
      </c>
      <c r="H144" s="10">
        <v>38</v>
      </c>
      <c r="I144" s="15">
        <v>78</v>
      </c>
      <c r="J144">
        <v>123.5</v>
      </c>
      <c r="K144">
        <v>42</v>
      </c>
      <c r="L144">
        <v>-8</v>
      </c>
      <c r="M144">
        <v>-8.5</v>
      </c>
      <c r="N144">
        <v>4</v>
      </c>
      <c r="O144">
        <v>-8.5</v>
      </c>
      <c r="P144" t="s">
        <v>1088</v>
      </c>
    </row>
    <row r="145" spans="3:16" x14ac:dyDescent="0.25">
      <c r="C145" s="10">
        <v>144</v>
      </c>
      <c r="D145" s="10">
        <v>73276652627</v>
      </c>
      <c r="E145" s="10" t="s">
        <v>997</v>
      </c>
      <c r="F145" s="10">
        <v>75</v>
      </c>
      <c r="G145" s="10">
        <v>117</v>
      </c>
      <c r="H145" s="10">
        <v>34</v>
      </c>
      <c r="I145" s="15">
        <v>78</v>
      </c>
      <c r="J145">
        <v>123.5</v>
      </c>
      <c r="K145">
        <v>42</v>
      </c>
      <c r="L145">
        <v>3</v>
      </c>
      <c r="M145">
        <v>6.5</v>
      </c>
      <c r="N145">
        <v>8</v>
      </c>
      <c r="O145">
        <v>3</v>
      </c>
      <c r="P145" t="s">
        <v>1088</v>
      </c>
    </row>
    <row r="146" spans="3:16" x14ac:dyDescent="0.25">
      <c r="C146" s="11">
        <v>145</v>
      </c>
      <c r="D146" s="11">
        <v>73378170100</v>
      </c>
      <c r="E146" s="11" t="s">
        <v>998</v>
      </c>
      <c r="F146" s="11">
        <v>86</v>
      </c>
      <c r="G146" s="11">
        <v>133.5</v>
      </c>
      <c r="H146" s="11">
        <v>34</v>
      </c>
      <c r="I146" s="12">
        <v>78</v>
      </c>
      <c r="J146">
        <v>123.5</v>
      </c>
      <c r="K146">
        <v>42</v>
      </c>
      <c r="L146">
        <v>-8</v>
      </c>
      <c r="M146">
        <v>-10</v>
      </c>
      <c r="N146">
        <v>8</v>
      </c>
      <c r="O146">
        <v>-10</v>
      </c>
      <c r="P146" t="s">
        <v>1088</v>
      </c>
    </row>
    <row r="147" spans="3:16" x14ac:dyDescent="0.25">
      <c r="C147" s="16">
        <v>146</v>
      </c>
      <c r="D147" s="16">
        <v>73283582139</v>
      </c>
      <c r="E147" s="16" t="s">
        <v>1000</v>
      </c>
      <c r="F147" s="16">
        <v>81</v>
      </c>
      <c r="G147" s="16">
        <v>127</v>
      </c>
      <c r="H147" s="16">
        <v>46</v>
      </c>
      <c r="I147" s="17">
        <v>78</v>
      </c>
      <c r="J147">
        <v>123.5</v>
      </c>
      <c r="K147">
        <v>42</v>
      </c>
      <c r="L147">
        <v>-3</v>
      </c>
      <c r="M147">
        <v>-3.5</v>
      </c>
      <c r="N147">
        <v>-4</v>
      </c>
      <c r="O147">
        <v>-4</v>
      </c>
      <c r="P147" t="s">
        <v>1088</v>
      </c>
    </row>
    <row r="148" spans="3:16" x14ac:dyDescent="0.25">
      <c r="C148" s="16">
        <v>147</v>
      </c>
      <c r="D148" s="16">
        <v>73290323128</v>
      </c>
      <c r="E148" s="16" t="s">
        <v>1001</v>
      </c>
      <c r="F148" s="16">
        <v>75</v>
      </c>
      <c r="G148" s="16">
        <v>115</v>
      </c>
      <c r="H148" s="16">
        <v>33</v>
      </c>
      <c r="I148" s="17">
        <v>78</v>
      </c>
      <c r="J148">
        <v>123.5</v>
      </c>
      <c r="K148">
        <v>42</v>
      </c>
      <c r="L148">
        <v>3</v>
      </c>
      <c r="M148">
        <v>8.5</v>
      </c>
      <c r="N148">
        <v>9</v>
      </c>
      <c r="O148">
        <v>3</v>
      </c>
      <c r="P148" t="s">
        <v>1088</v>
      </c>
    </row>
    <row r="149" spans="3:16" x14ac:dyDescent="0.25">
      <c r="C149" s="16">
        <v>148</v>
      </c>
      <c r="D149" s="16">
        <v>73371864825</v>
      </c>
      <c r="E149" s="16" t="s">
        <v>1002</v>
      </c>
      <c r="F149" s="16">
        <v>88</v>
      </c>
      <c r="G149" s="16">
        <v>133.5</v>
      </c>
      <c r="H149" s="16">
        <v>30</v>
      </c>
      <c r="I149" s="17">
        <v>78</v>
      </c>
      <c r="J149">
        <v>123.5</v>
      </c>
      <c r="K149">
        <v>42</v>
      </c>
      <c r="L149">
        <v>-10</v>
      </c>
      <c r="M149">
        <v>-10</v>
      </c>
      <c r="N149">
        <v>12</v>
      </c>
      <c r="O149">
        <v>-10</v>
      </c>
      <c r="P149" t="s">
        <v>1088</v>
      </c>
    </row>
    <row r="150" spans="3:16" x14ac:dyDescent="0.25">
      <c r="C150" s="16">
        <v>149</v>
      </c>
      <c r="D150" s="16">
        <v>73345959499</v>
      </c>
      <c r="E150" s="16" t="s">
        <v>1005</v>
      </c>
      <c r="F150" s="16">
        <v>76</v>
      </c>
      <c r="G150" s="16">
        <v>121</v>
      </c>
      <c r="H150" s="16">
        <v>50</v>
      </c>
      <c r="I150" s="17">
        <v>78</v>
      </c>
      <c r="J150">
        <v>123.5</v>
      </c>
      <c r="K150">
        <v>42</v>
      </c>
      <c r="L150">
        <v>2</v>
      </c>
      <c r="M150">
        <v>2.5</v>
      </c>
      <c r="N150">
        <v>-8</v>
      </c>
      <c r="O150">
        <v>-8</v>
      </c>
      <c r="P150" t="s">
        <v>1088</v>
      </c>
    </row>
    <row r="151" spans="3:16" x14ac:dyDescent="0.25">
      <c r="C151" s="16">
        <v>150</v>
      </c>
      <c r="D151" s="16">
        <v>73285808647</v>
      </c>
      <c r="E151" s="16" t="s">
        <v>1006</v>
      </c>
      <c r="F151" s="16">
        <v>72</v>
      </c>
      <c r="G151" s="16">
        <v>115</v>
      </c>
      <c r="H151" s="16">
        <v>45</v>
      </c>
      <c r="I151" s="17">
        <v>78</v>
      </c>
      <c r="J151">
        <v>123.5</v>
      </c>
      <c r="K151">
        <v>42</v>
      </c>
      <c r="L151">
        <v>6</v>
      </c>
      <c r="M151">
        <v>8.5</v>
      </c>
      <c r="N151">
        <v>-3</v>
      </c>
      <c r="O151">
        <v>-3</v>
      </c>
      <c r="P151" t="s">
        <v>1088</v>
      </c>
    </row>
    <row r="152" spans="3:16" x14ac:dyDescent="0.25">
      <c r="C152" s="16">
        <v>151</v>
      </c>
      <c r="D152" s="16">
        <v>73275036742</v>
      </c>
      <c r="E152" s="16" t="s">
        <v>1007</v>
      </c>
      <c r="F152" s="16">
        <v>73</v>
      </c>
      <c r="G152" s="16">
        <v>112</v>
      </c>
      <c r="H152" s="16">
        <v>37</v>
      </c>
      <c r="I152" s="17">
        <v>78</v>
      </c>
      <c r="J152">
        <v>123.5</v>
      </c>
      <c r="K152">
        <v>42</v>
      </c>
      <c r="L152">
        <v>5</v>
      </c>
      <c r="M152">
        <v>11.5</v>
      </c>
      <c r="N152">
        <v>5</v>
      </c>
      <c r="O152">
        <v>5</v>
      </c>
      <c r="P152" t="s">
        <v>1088</v>
      </c>
    </row>
    <row r="153" spans="3:16" x14ac:dyDescent="0.25">
      <c r="C153" s="16">
        <v>152</v>
      </c>
      <c r="D153" s="16">
        <v>73369694915</v>
      </c>
      <c r="E153" s="16" t="s">
        <v>1008</v>
      </c>
      <c r="F153" s="16">
        <v>84</v>
      </c>
      <c r="G153" s="16">
        <v>130</v>
      </c>
      <c r="H153" s="16">
        <v>43</v>
      </c>
      <c r="I153" s="17">
        <v>78</v>
      </c>
      <c r="J153">
        <v>123.5</v>
      </c>
      <c r="K153">
        <v>42</v>
      </c>
      <c r="L153">
        <v>-6</v>
      </c>
      <c r="M153">
        <v>-6.5</v>
      </c>
      <c r="N153">
        <v>-1</v>
      </c>
      <c r="O153">
        <v>-6.5</v>
      </c>
      <c r="P153" t="s">
        <v>1088</v>
      </c>
    </row>
    <row r="154" spans="3:16" x14ac:dyDescent="0.25">
      <c r="C154" s="16">
        <v>153</v>
      </c>
      <c r="D154" s="16">
        <v>73257620792</v>
      </c>
      <c r="E154" s="16" t="s">
        <v>1010</v>
      </c>
      <c r="F154" s="16">
        <v>81</v>
      </c>
      <c r="G154" s="16">
        <v>126</v>
      </c>
      <c r="H154" s="16">
        <v>39</v>
      </c>
      <c r="I154" s="17">
        <v>78</v>
      </c>
      <c r="J154">
        <v>123.5</v>
      </c>
      <c r="K154">
        <v>42</v>
      </c>
      <c r="L154">
        <v>-3</v>
      </c>
      <c r="M154">
        <v>-2.5</v>
      </c>
      <c r="N154">
        <v>3</v>
      </c>
      <c r="O154">
        <v>-3</v>
      </c>
      <c r="P154" t="s">
        <v>1088</v>
      </c>
    </row>
    <row r="155" spans="3:16" x14ac:dyDescent="0.25">
      <c r="C155" s="16">
        <v>154</v>
      </c>
      <c r="D155" s="16">
        <v>73376618056</v>
      </c>
      <c r="E155" s="16" t="s">
        <v>1014</v>
      </c>
      <c r="F155" s="16">
        <v>76</v>
      </c>
      <c r="G155" s="16">
        <v>118.5</v>
      </c>
      <c r="H155" s="16">
        <v>46</v>
      </c>
      <c r="I155" s="17">
        <v>78</v>
      </c>
      <c r="J155">
        <v>123.5</v>
      </c>
      <c r="K155">
        <v>42</v>
      </c>
      <c r="L155">
        <v>2</v>
      </c>
      <c r="M155">
        <v>5</v>
      </c>
      <c r="N155">
        <v>-4</v>
      </c>
      <c r="O155">
        <v>-4</v>
      </c>
      <c r="P155" t="s">
        <v>1088</v>
      </c>
    </row>
    <row r="156" spans="3:16" x14ac:dyDescent="0.25">
      <c r="C156" s="16">
        <v>155</v>
      </c>
      <c r="D156" s="16">
        <v>73258425424</v>
      </c>
      <c r="E156" s="16" t="s">
        <v>1021</v>
      </c>
      <c r="F156" s="16">
        <v>79</v>
      </c>
      <c r="G156" s="16">
        <v>120.5</v>
      </c>
      <c r="H156" s="16">
        <v>41</v>
      </c>
      <c r="I156" s="17">
        <v>78</v>
      </c>
      <c r="J156">
        <v>123.5</v>
      </c>
      <c r="K156">
        <v>42</v>
      </c>
      <c r="L156">
        <v>-1</v>
      </c>
      <c r="M156">
        <v>3</v>
      </c>
      <c r="N156">
        <v>1</v>
      </c>
      <c r="O156">
        <v>-1</v>
      </c>
      <c r="P156" t="s">
        <v>1088</v>
      </c>
    </row>
    <row r="157" spans="3:16" x14ac:dyDescent="0.25">
      <c r="C157" s="16">
        <v>156</v>
      </c>
      <c r="D157" s="16">
        <v>73267770668</v>
      </c>
      <c r="E157" s="16" t="s">
        <v>1022</v>
      </c>
      <c r="F157" s="16">
        <v>83</v>
      </c>
      <c r="G157" s="16">
        <v>129.5</v>
      </c>
      <c r="H157" s="16">
        <v>34</v>
      </c>
      <c r="I157" s="17">
        <v>78</v>
      </c>
      <c r="J157">
        <v>123.5</v>
      </c>
      <c r="K157">
        <v>42</v>
      </c>
      <c r="L157">
        <v>-5</v>
      </c>
      <c r="M157">
        <v>-6</v>
      </c>
      <c r="N157">
        <v>8</v>
      </c>
      <c r="O157">
        <v>-6</v>
      </c>
      <c r="P157" t="s">
        <v>1088</v>
      </c>
    </row>
    <row r="158" spans="3:16" x14ac:dyDescent="0.25">
      <c r="C158" s="16">
        <v>157</v>
      </c>
      <c r="D158" s="16">
        <v>73304224440</v>
      </c>
      <c r="E158" s="16" t="s">
        <v>1023</v>
      </c>
      <c r="F158" s="16">
        <v>70</v>
      </c>
      <c r="G158" s="16">
        <v>112</v>
      </c>
      <c r="H158" s="16">
        <v>45</v>
      </c>
      <c r="I158" s="17">
        <v>78</v>
      </c>
      <c r="J158">
        <v>123.5</v>
      </c>
      <c r="K158">
        <v>42</v>
      </c>
      <c r="L158">
        <v>8</v>
      </c>
      <c r="M158">
        <v>11.5</v>
      </c>
      <c r="N158">
        <v>-3</v>
      </c>
      <c r="O158">
        <v>-3</v>
      </c>
      <c r="P158" t="s">
        <v>1088</v>
      </c>
    </row>
    <row r="159" spans="3:16" x14ac:dyDescent="0.25">
      <c r="C159" s="16">
        <v>158</v>
      </c>
      <c r="D159" s="16">
        <v>73298840534</v>
      </c>
      <c r="E159" s="16" t="s">
        <v>1027</v>
      </c>
      <c r="F159" s="16">
        <v>74</v>
      </c>
      <c r="G159" s="16">
        <v>116</v>
      </c>
      <c r="H159" s="16">
        <v>37</v>
      </c>
      <c r="I159" s="17">
        <v>78</v>
      </c>
      <c r="J159">
        <v>123.5</v>
      </c>
      <c r="K159">
        <v>42</v>
      </c>
      <c r="L159">
        <v>4</v>
      </c>
      <c r="M159">
        <v>7.5</v>
      </c>
      <c r="N159">
        <v>5</v>
      </c>
      <c r="O159">
        <v>4</v>
      </c>
      <c r="P159" t="s">
        <v>1088</v>
      </c>
    </row>
    <row r="160" spans="3:16" x14ac:dyDescent="0.25">
      <c r="C160" s="16">
        <v>159</v>
      </c>
      <c r="D160" s="16">
        <v>73271909334</v>
      </c>
      <c r="E160" s="16" t="s">
        <v>1038</v>
      </c>
      <c r="F160" s="16">
        <v>74</v>
      </c>
      <c r="G160" s="16">
        <v>114</v>
      </c>
      <c r="H160" s="16">
        <v>42</v>
      </c>
      <c r="I160" s="17">
        <v>78</v>
      </c>
      <c r="J160">
        <v>123.5</v>
      </c>
      <c r="K160">
        <v>42</v>
      </c>
      <c r="L160">
        <v>4</v>
      </c>
      <c r="M160">
        <v>9.5</v>
      </c>
      <c r="N160">
        <v>0</v>
      </c>
      <c r="O160">
        <v>0</v>
      </c>
      <c r="P160" t="s">
        <v>1088</v>
      </c>
    </row>
    <row r="161" spans="3:16" x14ac:dyDescent="0.25">
      <c r="C161" s="16">
        <v>160</v>
      </c>
      <c r="D161" s="16">
        <v>73327173478</v>
      </c>
      <c r="E161" s="16" t="s">
        <v>1041</v>
      </c>
      <c r="F161" s="16">
        <v>76</v>
      </c>
      <c r="G161" s="16">
        <v>117.5</v>
      </c>
      <c r="H161" s="16">
        <v>37</v>
      </c>
      <c r="I161" s="17">
        <v>78</v>
      </c>
      <c r="J161">
        <v>123.5</v>
      </c>
      <c r="K161">
        <v>42</v>
      </c>
      <c r="L161">
        <v>2</v>
      </c>
      <c r="M161">
        <v>6</v>
      </c>
      <c r="N161">
        <v>5</v>
      </c>
      <c r="O161">
        <v>2</v>
      </c>
      <c r="P161" t="s">
        <v>1088</v>
      </c>
    </row>
    <row r="162" spans="3:16" x14ac:dyDescent="0.25">
      <c r="C162" s="16">
        <v>161</v>
      </c>
      <c r="D162" s="16">
        <v>73442174516</v>
      </c>
      <c r="E162" s="16" t="s">
        <v>1043</v>
      </c>
      <c r="F162" s="16">
        <v>75</v>
      </c>
      <c r="G162" s="16">
        <v>121</v>
      </c>
      <c r="H162" s="16">
        <v>38</v>
      </c>
      <c r="I162" s="17">
        <v>78</v>
      </c>
      <c r="J162">
        <v>123.5</v>
      </c>
      <c r="K162">
        <v>42</v>
      </c>
      <c r="L162">
        <v>3</v>
      </c>
      <c r="M162">
        <v>2.5</v>
      </c>
      <c r="N162">
        <v>4</v>
      </c>
      <c r="O162">
        <v>2.5</v>
      </c>
      <c r="P162" t="s">
        <v>1088</v>
      </c>
    </row>
    <row r="163" spans="3:16" x14ac:dyDescent="0.25">
      <c r="C163" s="16">
        <v>162</v>
      </c>
      <c r="D163" s="16">
        <v>74049545321</v>
      </c>
      <c r="E163" s="16" t="s">
        <v>1044</v>
      </c>
      <c r="F163" s="16">
        <v>71</v>
      </c>
      <c r="G163" s="16">
        <v>116</v>
      </c>
      <c r="H163" s="16">
        <v>42</v>
      </c>
      <c r="I163" s="17">
        <v>78</v>
      </c>
      <c r="J163">
        <v>123.5</v>
      </c>
      <c r="K163">
        <v>42</v>
      </c>
      <c r="L163">
        <v>7</v>
      </c>
      <c r="M163">
        <v>7.5</v>
      </c>
      <c r="N163">
        <v>0</v>
      </c>
      <c r="O163">
        <v>0</v>
      </c>
      <c r="P163" t="s">
        <v>1088</v>
      </c>
    </row>
    <row r="164" spans="3:16" x14ac:dyDescent="0.25">
      <c r="C164" s="16">
        <v>163</v>
      </c>
      <c r="D164" s="16">
        <v>73325131791</v>
      </c>
      <c r="E164" s="16" t="s">
        <v>1045</v>
      </c>
      <c r="F164" s="16">
        <v>84</v>
      </c>
      <c r="G164" s="16">
        <v>130.5</v>
      </c>
      <c r="H164" s="16">
        <v>32</v>
      </c>
      <c r="I164" s="17">
        <v>78</v>
      </c>
      <c r="J164">
        <v>123.5</v>
      </c>
      <c r="K164">
        <v>42</v>
      </c>
      <c r="L164">
        <v>-6</v>
      </c>
      <c r="M164">
        <v>-7</v>
      </c>
      <c r="N164">
        <v>10</v>
      </c>
      <c r="O164">
        <v>-7</v>
      </c>
      <c r="P164" t="s">
        <v>1088</v>
      </c>
    </row>
    <row r="165" spans="3:16" x14ac:dyDescent="0.25">
      <c r="C165" s="16">
        <v>164</v>
      </c>
      <c r="D165" s="16">
        <v>73417882788</v>
      </c>
      <c r="E165" s="16" t="s">
        <v>1047</v>
      </c>
      <c r="F165" s="16">
        <v>84</v>
      </c>
      <c r="G165" s="16">
        <v>131.5</v>
      </c>
      <c r="H165" s="16">
        <v>39</v>
      </c>
      <c r="I165" s="17">
        <v>78</v>
      </c>
      <c r="J165">
        <v>123.5</v>
      </c>
      <c r="K165">
        <v>42</v>
      </c>
      <c r="L165">
        <v>-6</v>
      </c>
      <c r="M165">
        <v>-8</v>
      </c>
      <c r="N165">
        <v>3</v>
      </c>
      <c r="O165">
        <v>-8</v>
      </c>
      <c r="P165" t="s">
        <v>1088</v>
      </c>
    </row>
    <row r="166" spans="3:16" x14ac:dyDescent="0.25">
      <c r="C166" s="16">
        <v>165</v>
      </c>
      <c r="D166" s="16">
        <v>73386253932</v>
      </c>
      <c r="E166" s="16" t="s">
        <v>1048</v>
      </c>
      <c r="F166" s="16">
        <v>74</v>
      </c>
      <c r="G166" s="16">
        <v>118</v>
      </c>
      <c r="H166" s="16">
        <v>36</v>
      </c>
      <c r="I166" s="17">
        <v>78</v>
      </c>
      <c r="J166">
        <v>123.5</v>
      </c>
      <c r="K166">
        <v>42</v>
      </c>
      <c r="L166">
        <v>4</v>
      </c>
      <c r="M166">
        <v>5.5</v>
      </c>
      <c r="N166">
        <v>6</v>
      </c>
      <c r="O166">
        <v>4</v>
      </c>
      <c r="P166" t="s">
        <v>1088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40951-A05F-4E26-ACD7-8DCD4300B5AD}">
  <sheetPr codeName="Munka7"/>
  <dimension ref="C1:M60"/>
  <sheetViews>
    <sheetView workbookViewId="0">
      <selection activeCell="P16" sqref="P16"/>
    </sheetView>
  </sheetViews>
  <sheetFormatPr defaultRowHeight="15" x14ac:dyDescent="0.25"/>
  <cols>
    <col min="3" max="3" width="10.5703125" bestFit="1" customWidth="1"/>
    <col min="4" max="4" width="15.5703125" bestFit="1" customWidth="1"/>
    <col min="5" max="5" width="18.85546875" bestFit="1" customWidth="1"/>
    <col min="6" max="6" width="15.42578125" bestFit="1" customWidth="1"/>
    <col min="7" max="7" width="12" bestFit="1" customWidth="1"/>
    <col min="8" max="8" width="28" bestFit="1" customWidth="1"/>
    <col min="9" max="9" width="14" bestFit="1" customWidth="1"/>
    <col min="10" max="10" width="17.42578125" bestFit="1" customWidth="1"/>
    <col min="11" max="11" width="9.5703125" bestFit="1" customWidth="1"/>
    <col min="12" max="12" width="13.85546875" bestFit="1" customWidth="1"/>
    <col min="13" max="13" width="16.5703125" bestFit="1" customWidth="1"/>
  </cols>
  <sheetData>
    <row r="1" spans="3:13" x14ac:dyDescent="0.25">
      <c r="C1" s="36"/>
      <c r="D1" s="13"/>
      <c r="E1" s="13"/>
      <c r="F1" s="13"/>
      <c r="G1" s="13"/>
      <c r="H1" s="13"/>
      <c r="I1" s="13"/>
      <c r="J1" s="13"/>
      <c r="K1" s="13"/>
      <c r="L1" s="13"/>
      <c r="M1" s="37"/>
    </row>
    <row r="2" spans="3:13" x14ac:dyDescent="0.25">
      <c r="C2" s="38"/>
      <c r="D2" s="10"/>
      <c r="E2" s="10"/>
      <c r="F2" s="10"/>
      <c r="G2" s="10"/>
      <c r="H2" s="10"/>
      <c r="I2" s="10"/>
      <c r="J2" s="10"/>
      <c r="K2" s="10"/>
      <c r="L2" s="10"/>
      <c r="M2" s="39"/>
    </row>
    <row r="3" spans="3:13" x14ac:dyDescent="0.25">
      <c r="C3" s="38"/>
      <c r="D3" s="10"/>
      <c r="E3" s="10"/>
      <c r="F3" s="10"/>
      <c r="G3" s="10"/>
      <c r="H3" s="10"/>
      <c r="I3" s="10"/>
      <c r="J3" s="10"/>
      <c r="K3" s="10"/>
      <c r="L3" s="10"/>
      <c r="M3" s="39"/>
    </row>
    <row r="4" spans="3:13" x14ac:dyDescent="0.25">
      <c r="C4" s="38"/>
      <c r="D4" s="10"/>
      <c r="E4" s="10"/>
      <c r="F4" s="10"/>
      <c r="G4" s="10"/>
      <c r="H4" s="10"/>
      <c r="I4" s="10"/>
      <c r="J4" s="10"/>
      <c r="K4" s="10"/>
      <c r="L4" s="10"/>
      <c r="M4" s="39"/>
    </row>
    <row r="5" spans="3:13" x14ac:dyDescent="0.25">
      <c r="C5" s="38"/>
      <c r="D5" s="10"/>
      <c r="E5" s="10"/>
      <c r="F5" s="10"/>
      <c r="G5" s="10"/>
      <c r="H5" s="10"/>
      <c r="I5" s="10"/>
      <c r="J5" s="10"/>
      <c r="K5" s="10"/>
      <c r="L5" s="10"/>
      <c r="M5" s="39"/>
    </row>
    <row r="6" spans="3:13" x14ac:dyDescent="0.25">
      <c r="C6" s="38"/>
      <c r="D6" s="10"/>
      <c r="E6" s="10"/>
      <c r="F6" s="10"/>
      <c r="G6" s="10"/>
      <c r="H6" s="10"/>
      <c r="I6" s="10"/>
      <c r="J6" s="10"/>
      <c r="K6" s="10"/>
      <c r="L6" s="10"/>
      <c r="M6" s="39"/>
    </row>
    <row r="7" spans="3:13" x14ac:dyDescent="0.25">
      <c r="C7" s="38"/>
      <c r="D7" s="10"/>
      <c r="E7" s="10"/>
      <c r="F7" s="10"/>
      <c r="G7" s="10"/>
      <c r="H7" s="10"/>
      <c r="I7" s="10"/>
      <c r="J7" s="10"/>
      <c r="K7" s="10"/>
      <c r="L7" s="10"/>
      <c r="M7" s="39"/>
    </row>
    <row r="8" spans="3:13" x14ac:dyDescent="0.25">
      <c r="C8" s="38"/>
      <c r="D8" s="10"/>
      <c r="E8" s="10"/>
      <c r="F8" s="10"/>
      <c r="G8" s="10"/>
      <c r="H8" s="10"/>
      <c r="I8" s="10"/>
      <c r="J8" s="10"/>
      <c r="K8" s="10"/>
      <c r="L8" s="10"/>
      <c r="M8" s="39"/>
    </row>
    <row r="9" spans="3:13" x14ac:dyDescent="0.25">
      <c r="C9" s="38"/>
      <c r="D9" s="10"/>
      <c r="E9" s="10"/>
      <c r="F9" s="10"/>
      <c r="G9" s="10"/>
      <c r="H9" s="10"/>
      <c r="I9" s="10"/>
      <c r="J9" s="10"/>
      <c r="K9" s="10"/>
      <c r="L9" s="10"/>
      <c r="M9" s="39"/>
    </row>
    <row r="10" spans="3:13" x14ac:dyDescent="0.25">
      <c r="C10" s="38"/>
      <c r="D10" s="10"/>
      <c r="E10" s="10"/>
      <c r="F10" s="10"/>
      <c r="G10" s="10"/>
      <c r="H10" s="10"/>
      <c r="I10" s="10"/>
      <c r="J10" s="10"/>
      <c r="K10" s="10"/>
      <c r="L10" s="10"/>
      <c r="M10" s="39"/>
    </row>
    <row r="11" spans="3:13" x14ac:dyDescent="0.25">
      <c r="C11" s="38"/>
      <c r="D11" s="10"/>
      <c r="E11" s="10"/>
      <c r="F11" s="10"/>
      <c r="G11" s="10"/>
      <c r="H11" s="10"/>
      <c r="I11" s="10"/>
      <c r="J11" s="10"/>
      <c r="K11" s="10"/>
      <c r="L11" s="10"/>
      <c r="M11" s="39"/>
    </row>
    <row r="12" spans="3:13" x14ac:dyDescent="0.25">
      <c r="C12" s="38"/>
      <c r="D12" s="10"/>
      <c r="E12" s="10"/>
      <c r="F12" s="10"/>
      <c r="G12" s="10"/>
      <c r="H12" s="10"/>
      <c r="I12" s="10"/>
      <c r="J12" s="10"/>
      <c r="K12" s="10"/>
      <c r="L12" s="10"/>
      <c r="M12" s="39"/>
    </row>
    <row r="13" spans="3:13" x14ac:dyDescent="0.25">
      <c r="C13" s="38"/>
      <c r="D13" s="10"/>
      <c r="E13" s="10"/>
      <c r="F13" s="10"/>
      <c r="G13" s="10"/>
      <c r="H13" s="10"/>
      <c r="I13" s="10"/>
      <c r="J13" s="10"/>
      <c r="K13" s="10"/>
      <c r="L13" s="10"/>
      <c r="M13" s="39"/>
    </row>
    <row r="14" spans="3:13" x14ac:dyDescent="0.25">
      <c r="C14" s="38"/>
      <c r="D14" s="10"/>
      <c r="E14" s="10"/>
      <c r="F14" s="10"/>
      <c r="G14" s="10"/>
      <c r="H14" s="10"/>
      <c r="I14" s="10"/>
      <c r="J14" s="10"/>
      <c r="K14" s="10"/>
      <c r="L14" s="10"/>
      <c r="M14" s="39"/>
    </row>
    <row r="15" spans="3:13" x14ac:dyDescent="0.25">
      <c r="C15" s="38"/>
      <c r="D15" s="10"/>
      <c r="E15" s="10"/>
      <c r="F15" s="10"/>
      <c r="G15" s="10"/>
      <c r="H15" s="10"/>
      <c r="I15" s="10"/>
      <c r="J15" s="10"/>
      <c r="K15" s="10"/>
      <c r="L15" s="10"/>
      <c r="M15" s="39"/>
    </row>
    <row r="16" spans="3:13" x14ac:dyDescent="0.25">
      <c r="C16" s="38"/>
      <c r="D16" s="10"/>
      <c r="E16" s="10"/>
      <c r="F16" s="10"/>
      <c r="G16" s="10"/>
      <c r="H16" s="10"/>
      <c r="I16" s="10"/>
      <c r="J16" s="10"/>
      <c r="K16" s="10"/>
      <c r="L16" s="10"/>
      <c r="M16" s="39"/>
    </row>
    <row r="17" spans="3:13" x14ac:dyDescent="0.25">
      <c r="C17" s="38"/>
      <c r="D17" s="10"/>
      <c r="E17" s="10"/>
      <c r="F17" s="10"/>
      <c r="G17" s="10"/>
      <c r="H17" s="10"/>
      <c r="I17" s="10"/>
      <c r="J17" s="10"/>
      <c r="K17" s="10"/>
      <c r="L17" s="10"/>
      <c r="M17" s="39"/>
    </row>
    <row r="18" spans="3:13" x14ac:dyDescent="0.25">
      <c r="C18" s="38"/>
      <c r="D18" s="10"/>
      <c r="E18" s="10"/>
      <c r="F18" s="10"/>
      <c r="G18" s="10"/>
      <c r="H18" s="10"/>
      <c r="I18" s="10"/>
      <c r="J18" s="10"/>
      <c r="K18" s="10"/>
      <c r="L18" s="10"/>
      <c r="M18" s="39"/>
    </row>
    <row r="19" spans="3:13" x14ac:dyDescent="0.25">
      <c r="C19" s="38"/>
      <c r="D19" s="10"/>
      <c r="E19" s="10"/>
      <c r="F19" s="10"/>
      <c r="G19" s="10"/>
      <c r="H19" s="10"/>
      <c r="I19" s="10"/>
      <c r="J19" s="10"/>
      <c r="K19" s="10"/>
      <c r="L19" s="10"/>
      <c r="M19" s="39"/>
    </row>
    <row r="20" spans="3:13" x14ac:dyDescent="0.25">
      <c r="C20" s="38"/>
      <c r="D20" s="10"/>
      <c r="E20" s="10"/>
      <c r="F20" s="10"/>
      <c r="G20" s="10"/>
      <c r="H20" s="10"/>
      <c r="I20" s="10"/>
      <c r="J20" s="10"/>
      <c r="K20" s="10"/>
      <c r="L20" s="10"/>
      <c r="M20" s="39"/>
    </row>
    <row r="21" spans="3:13" x14ac:dyDescent="0.25">
      <c r="C21" s="38"/>
      <c r="D21" s="10"/>
      <c r="E21" s="10"/>
      <c r="F21" s="10"/>
      <c r="G21" s="10"/>
      <c r="H21" s="10"/>
      <c r="I21" s="10"/>
      <c r="J21" s="10"/>
      <c r="K21" s="10"/>
      <c r="L21" s="10"/>
      <c r="M21" s="39"/>
    </row>
    <row r="22" spans="3:13" x14ac:dyDescent="0.25">
      <c r="C22" s="38"/>
      <c r="D22" s="10"/>
      <c r="E22" s="10"/>
      <c r="F22" s="10"/>
      <c r="G22" s="10"/>
      <c r="H22" s="10"/>
      <c r="I22" s="10"/>
      <c r="J22" s="10"/>
      <c r="K22" s="10"/>
      <c r="L22" s="10"/>
      <c r="M22" s="39"/>
    </row>
    <row r="23" spans="3:13" x14ac:dyDescent="0.25">
      <c r="C23" s="38"/>
      <c r="D23" s="10"/>
      <c r="E23" s="10"/>
      <c r="F23" s="10"/>
      <c r="G23" s="10"/>
      <c r="H23" s="10"/>
      <c r="I23" s="10"/>
      <c r="J23" s="10"/>
      <c r="K23" s="10"/>
      <c r="L23" s="10"/>
      <c r="M23" s="39"/>
    </row>
    <row r="24" spans="3:13" x14ac:dyDescent="0.25">
      <c r="C24" s="38"/>
      <c r="D24" s="10"/>
      <c r="E24" s="10"/>
      <c r="F24" s="10"/>
      <c r="G24" s="10"/>
      <c r="H24" s="10"/>
      <c r="I24" s="10"/>
      <c r="J24" s="10"/>
      <c r="K24" s="10"/>
      <c r="L24" s="10"/>
      <c r="M24" s="39"/>
    </row>
    <row r="25" spans="3:13" x14ac:dyDescent="0.25">
      <c r="C25" s="38"/>
      <c r="D25" s="10"/>
      <c r="E25" s="10"/>
      <c r="F25" s="10"/>
      <c r="G25" s="10"/>
      <c r="H25" s="10"/>
      <c r="I25" s="10"/>
      <c r="J25" s="10"/>
      <c r="K25" s="10"/>
      <c r="L25" s="10"/>
      <c r="M25" s="39"/>
    </row>
    <row r="26" spans="3:13" x14ac:dyDescent="0.25">
      <c r="C26" s="38"/>
      <c r="D26" s="10"/>
      <c r="E26" s="10"/>
      <c r="F26" s="10"/>
      <c r="G26" s="10"/>
      <c r="H26" s="10"/>
      <c r="I26" s="10"/>
      <c r="J26" s="10"/>
      <c r="K26" s="10"/>
      <c r="L26" s="10"/>
      <c r="M26" s="39"/>
    </row>
    <row r="27" spans="3:13" x14ac:dyDescent="0.25">
      <c r="C27" s="38"/>
      <c r="D27" s="10"/>
      <c r="E27" s="10"/>
      <c r="F27" s="10"/>
      <c r="G27" s="10"/>
      <c r="H27" s="10"/>
      <c r="I27" s="10"/>
      <c r="J27" s="10"/>
      <c r="K27" s="10"/>
      <c r="L27" s="10"/>
      <c r="M27" s="39"/>
    </row>
    <row r="28" spans="3:13" x14ac:dyDescent="0.25">
      <c r="C28" s="38"/>
      <c r="D28" s="10"/>
      <c r="E28" s="10"/>
      <c r="F28" s="10"/>
      <c r="G28" s="10"/>
      <c r="H28" s="10"/>
      <c r="I28" s="10"/>
      <c r="J28" s="10"/>
      <c r="K28" s="10"/>
      <c r="L28" s="10"/>
      <c r="M28" s="39"/>
    </row>
    <row r="29" spans="3:13" x14ac:dyDescent="0.25">
      <c r="C29" s="38"/>
      <c r="D29" s="10"/>
      <c r="E29" s="10"/>
      <c r="F29" s="10"/>
      <c r="G29" s="10"/>
      <c r="H29" s="10"/>
      <c r="I29" s="10"/>
      <c r="J29" s="10"/>
      <c r="K29" s="10"/>
      <c r="L29" s="10"/>
      <c r="M29" s="39"/>
    </row>
    <row r="30" spans="3:13" x14ac:dyDescent="0.25">
      <c r="C30" s="38"/>
      <c r="D30" s="10"/>
      <c r="E30" s="10"/>
      <c r="F30" s="10"/>
      <c r="G30" s="10"/>
      <c r="H30" s="10"/>
      <c r="I30" s="10"/>
      <c r="J30" s="10"/>
      <c r="K30" s="10"/>
      <c r="L30" s="10"/>
      <c r="M30" s="39"/>
    </row>
    <row r="31" spans="3:13" x14ac:dyDescent="0.25">
      <c r="C31" s="38"/>
      <c r="D31" s="10"/>
      <c r="E31" s="10"/>
      <c r="F31" s="10"/>
      <c r="G31" s="10"/>
      <c r="H31" s="10"/>
      <c r="I31" s="10"/>
      <c r="J31" s="10"/>
      <c r="K31" s="10"/>
      <c r="L31" s="10"/>
      <c r="M31" s="39"/>
    </row>
    <row r="32" spans="3:13" x14ac:dyDescent="0.25">
      <c r="C32" s="38"/>
      <c r="D32" s="10"/>
      <c r="E32" s="10"/>
      <c r="F32" s="10"/>
      <c r="G32" s="10"/>
      <c r="H32" s="10"/>
      <c r="I32" s="10"/>
      <c r="J32" s="10"/>
      <c r="K32" s="10"/>
      <c r="L32" s="10"/>
      <c r="M32" s="39"/>
    </row>
    <row r="33" spans="3:13" x14ac:dyDescent="0.25">
      <c r="C33" s="38"/>
      <c r="D33" s="10"/>
      <c r="E33" s="10"/>
      <c r="F33" s="10"/>
      <c r="G33" s="10"/>
      <c r="H33" s="10"/>
      <c r="I33" s="10"/>
      <c r="J33" s="10"/>
      <c r="K33" s="10"/>
      <c r="L33" s="10"/>
      <c r="M33" s="39"/>
    </row>
    <row r="34" spans="3:13" x14ac:dyDescent="0.25">
      <c r="C34" s="38"/>
      <c r="D34" s="10"/>
      <c r="E34" s="10"/>
      <c r="F34" s="10"/>
      <c r="G34" s="10"/>
      <c r="H34" s="10"/>
      <c r="I34" s="10"/>
      <c r="J34" s="10"/>
      <c r="K34" s="10"/>
      <c r="L34" s="10"/>
      <c r="M34" s="39"/>
    </row>
    <row r="35" spans="3:13" x14ac:dyDescent="0.25">
      <c r="C35" s="38"/>
      <c r="D35" s="10"/>
      <c r="E35" s="10"/>
      <c r="F35" s="10"/>
      <c r="G35" s="10"/>
      <c r="H35" s="10"/>
      <c r="I35" s="10"/>
      <c r="J35" s="10"/>
      <c r="K35" s="10"/>
      <c r="L35" s="10"/>
      <c r="M35" s="39"/>
    </row>
    <row r="36" spans="3:13" x14ac:dyDescent="0.25">
      <c r="C36" s="38"/>
      <c r="D36" s="10"/>
      <c r="E36" s="10"/>
      <c r="F36" s="10"/>
      <c r="G36" s="10"/>
      <c r="H36" s="10"/>
      <c r="I36" s="10"/>
      <c r="J36" s="10"/>
      <c r="K36" s="10"/>
      <c r="L36" s="10"/>
      <c r="M36" s="39"/>
    </row>
    <row r="37" spans="3:13" x14ac:dyDescent="0.25">
      <c r="C37" s="38"/>
      <c r="D37" s="10"/>
      <c r="E37" s="10"/>
      <c r="F37" s="10"/>
      <c r="G37" s="10"/>
      <c r="H37" s="10"/>
      <c r="I37" s="10"/>
      <c r="J37" s="10"/>
      <c r="K37" s="10"/>
      <c r="L37" s="10"/>
      <c r="M37" s="39"/>
    </row>
    <row r="38" spans="3:13" x14ac:dyDescent="0.25">
      <c r="C38" s="38"/>
      <c r="D38" s="10"/>
      <c r="E38" s="10"/>
      <c r="F38" s="10"/>
      <c r="G38" s="10"/>
      <c r="H38" s="10"/>
      <c r="I38" s="10"/>
      <c r="J38" s="10"/>
      <c r="K38" s="10"/>
      <c r="L38" s="10"/>
      <c r="M38" s="39"/>
    </row>
    <row r="39" spans="3:13" x14ac:dyDescent="0.25">
      <c r="C39" s="38"/>
      <c r="D39" s="10"/>
      <c r="E39" s="10"/>
      <c r="F39" s="10"/>
      <c r="G39" s="10"/>
      <c r="H39" s="10"/>
      <c r="I39" s="10"/>
      <c r="J39" s="10"/>
      <c r="K39" s="10"/>
      <c r="L39" s="10"/>
      <c r="M39" s="39"/>
    </row>
    <row r="40" spans="3:13" x14ac:dyDescent="0.25">
      <c r="C40" s="38"/>
      <c r="D40" s="10"/>
      <c r="E40" s="10"/>
      <c r="F40" s="10"/>
      <c r="G40" s="10"/>
      <c r="H40" s="10"/>
      <c r="I40" s="10"/>
      <c r="J40" s="10"/>
      <c r="K40" s="10"/>
      <c r="L40" s="10"/>
      <c r="M40" s="39"/>
    </row>
    <row r="41" spans="3:13" x14ac:dyDescent="0.25">
      <c r="C41" s="38"/>
      <c r="D41" s="10"/>
      <c r="E41" s="10"/>
      <c r="F41" s="10"/>
      <c r="G41" s="10"/>
      <c r="H41" s="10"/>
      <c r="I41" s="10"/>
      <c r="J41" s="10"/>
      <c r="K41" s="10"/>
      <c r="L41" s="10"/>
      <c r="M41" s="39"/>
    </row>
    <row r="42" spans="3:13" x14ac:dyDescent="0.25">
      <c r="C42" s="38"/>
      <c r="D42" s="10"/>
      <c r="E42" s="10"/>
      <c r="F42" s="10"/>
      <c r="G42" s="10"/>
      <c r="H42" s="10"/>
      <c r="I42" s="10"/>
      <c r="J42" s="10"/>
      <c r="K42" s="10"/>
      <c r="L42" s="10"/>
      <c r="M42" s="39"/>
    </row>
    <row r="43" spans="3:13" x14ac:dyDescent="0.25">
      <c r="C43" s="38"/>
      <c r="D43" s="10"/>
      <c r="E43" s="10"/>
      <c r="F43" s="10"/>
      <c r="G43" s="10"/>
      <c r="H43" s="10"/>
      <c r="I43" s="10"/>
      <c r="J43" s="10"/>
      <c r="K43" s="10"/>
      <c r="L43" s="10"/>
      <c r="M43" s="39"/>
    </row>
    <row r="44" spans="3:13" x14ac:dyDescent="0.25">
      <c r="C44" s="38"/>
      <c r="D44" s="10"/>
      <c r="E44" s="10"/>
      <c r="F44" s="10"/>
      <c r="G44" s="10"/>
      <c r="H44" s="10"/>
      <c r="I44" s="10"/>
      <c r="J44" s="10"/>
      <c r="K44" s="10"/>
      <c r="L44" s="10"/>
      <c r="M44" s="39"/>
    </row>
    <row r="45" spans="3:13" x14ac:dyDescent="0.25">
      <c r="C45" s="38"/>
      <c r="D45" s="10"/>
      <c r="E45" s="10"/>
      <c r="F45" s="10"/>
      <c r="G45" s="10"/>
      <c r="H45" s="10"/>
      <c r="I45" s="10"/>
      <c r="J45" s="10"/>
      <c r="K45" s="10"/>
      <c r="L45" s="10"/>
      <c r="M45" s="39"/>
    </row>
    <row r="46" spans="3:13" x14ac:dyDescent="0.25">
      <c r="C46" s="38"/>
      <c r="D46" s="10"/>
      <c r="E46" s="10"/>
      <c r="F46" s="10"/>
      <c r="G46" s="10"/>
      <c r="H46" s="10"/>
      <c r="I46" s="10"/>
      <c r="J46" s="10"/>
      <c r="K46" s="10"/>
      <c r="L46" s="10"/>
      <c r="M46" s="39"/>
    </row>
    <row r="47" spans="3:13" x14ac:dyDescent="0.25">
      <c r="C47" s="38"/>
      <c r="D47" s="10"/>
      <c r="E47" s="10"/>
      <c r="F47" s="10"/>
      <c r="G47" s="10"/>
      <c r="H47" s="10"/>
      <c r="I47" s="10"/>
      <c r="J47" s="10"/>
      <c r="K47" s="10"/>
      <c r="L47" s="10"/>
      <c r="M47" s="39"/>
    </row>
    <row r="48" spans="3:13" x14ac:dyDescent="0.25">
      <c r="C48" s="38"/>
      <c r="D48" s="10"/>
      <c r="E48" s="10"/>
      <c r="F48" s="10"/>
      <c r="G48" s="10"/>
      <c r="H48" s="10"/>
      <c r="I48" s="10"/>
      <c r="J48" s="10"/>
      <c r="K48" s="10"/>
      <c r="L48" s="10"/>
      <c r="M48" s="39"/>
    </row>
    <row r="49" spans="3:13" x14ac:dyDescent="0.25">
      <c r="C49" s="38"/>
      <c r="D49" s="10"/>
      <c r="E49" s="10"/>
      <c r="F49" s="10"/>
      <c r="G49" s="10"/>
      <c r="H49" s="10"/>
      <c r="I49" s="10"/>
      <c r="J49" s="10"/>
      <c r="K49" s="10"/>
      <c r="L49" s="10"/>
      <c r="M49" s="39"/>
    </row>
    <row r="50" spans="3:13" x14ac:dyDescent="0.25">
      <c r="C50" s="38"/>
      <c r="D50" s="10"/>
      <c r="E50" s="10"/>
      <c r="F50" s="10"/>
      <c r="G50" s="10"/>
      <c r="H50" s="10"/>
      <c r="I50" s="10"/>
      <c r="J50" s="10"/>
      <c r="K50" s="10"/>
      <c r="L50" s="10"/>
      <c r="M50" s="39"/>
    </row>
    <row r="51" spans="3:13" x14ac:dyDescent="0.25">
      <c r="C51" s="38"/>
      <c r="D51" s="10"/>
      <c r="E51" s="10"/>
      <c r="F51" s="10"/>
      <c r="G51" s="10"/>
      <c r="H51" s="10"/>
      <c r="I51" s="10"/>
      <c r="J51" s="10"/>
      <c r="K51" s="10"/>
      <c r="L51" s="10"/>
      <c r="M51" s="39"/>
    </row>
    <row r="52" spans="3:13" x14ac:dyDescent="0.25">
      <c r="C52" s="38"/>
      <c r="D52" s="10"/>
      <c r="E52" s="10"/>
      <c r="F52" s="10"/>
      <c r="G52" s="10"/>
      <c r="H52" s="10"/>
      <c r="I52" s="10"/>
      <c r="J52" s="10"/>
      <c r="K52" s="10"/>
      <c r="L52" s="10"/>
      <c r="M52" s="39"/>
    </row>
    <row r="53" spans="3:13" x14ac:dyDescent="0.25">
      <c r="C53" s="38"/>
      <c r="D53" s="10"/>
      <c r="E53" s="10"/>
      <c r="F53" s="10"/>
      <c r="G53" s="10"/>
      <c r="H53" s="10"/>
      <c r="I53" s="10"/>
      <c r="J53" s="10"/>
      <c r="K53" s="10"/>
      <c r="L53" s="10"/>
      <c r="M53" s="39"/>
    </row>
    <row r="54" spans="3:13" x14ac:dyDescent="0.25">
      <c r="C54" s="38"/>
      <c r="D54" s="10"/>
      <c r="E54" s="10"/>
      <c r="F54" s="10"/>
      <c r="G54" s="10"/>
      <c r="H54" s="10"/>
      <c r="I54" s="10"/>
      <c r="J54" s="10"/>
      <c r="K54" s="10"/>
      <c r="L54" s="10"/>
      <c r="M54" s="39"/>
    </row>
    <row r="55" spans="3:13" x14ac:dyDescent="0.25">
      <c r="C55" s="38"/>
      <c r="D55" s="10"/>
      <c r="E55" s="10"/>
      <c r="F55" s="10"/>
      <c r="G55" s="10"/>
      <c r="H55" s="10"/>
      <c r="I55" s="10"/>
      <c r="J55" s="10"/>
      <c r="K55" s="10"/>
      <c r="L55" s="10"/>
      <c r="M55" s="39"/>
    </row>
    <row r="56" spans="3:13" x14ac:dyDescent="0.25">
      <c r="C56" s="38"/>
      <c r="D56" s="10"/>
      <c r="E56" s="10"/>
      <c r="F56" s="10"/>
      <c r="G56" s="10"/>
      <c r="H56" s="10"/>
      <c r="I56" s="10"/>
      <c r="J56" s="10"/>
      <c r="K56" s="10"/>
      <c r="L56" s="10"/>
      <c r="M56" s="39"/>
    </row>
    <row r="57" spans="3:13" x14ac:dyDescent="0.25">
      <c r="C57" s="38"/>
      <c r="D57" s="10"/>
      <c r="E57" s="10"/>
      <c r="F57" s="10"/>
      <c r="G57" s="10"/>
      <c r="H57" s="10"/>
      <c r="I57" s="10"/>
      <c r="J57" s="10"/>
      <c r="K57" s="10"/>
      <c r="L57" s="10"/>
      <c r="M57" s="39"/>
    </row>
    <row r="58" spans="3:13" x14ac:dyDescent="0.25">
      <c r="C58" s="38"/>
      <c r="D58" s="10"/>
      <c r="E58" s="10"/>
      <c r="F58" s="10"/>
      <c r="G58" s="10"/>
      <c r="H58" s="10"/>
      <c r="I58" s="10"/>
      <c r="J58" s="10"/>
      <c r="K58" s="10"/>
      <c r="L58" s="10"/>
      <c r="M58" s="39"/>
    </row>
    <row r="59" spans="3:13" x14ac:dyDescent="0.25">
      <c r="C59" s="38"/>
      <c r="D59" s="10"/>
      <c r="E59" s="10"/>
      <c r="F59" s="10"/>
      <c r="G59" s="10"/>
      <c r="H59" s="10"/>
      <c r="I59" s="10"/>
      <c r="J59" s="10"/>
      <c r="K59" s="10"/>
      <c r="L59" s="10"/>
      <c r="M59" s="39"/>
    </row>
    <row r="60" spans="3:13" x14ac:dyDescent="0.25">
      <c r="C60" s="40"/>
      <c r="D60" s="11"/>
      <c r="E60" s="11"/>
      <c r="F60" s="11"/>
      <c r="G60" s="11"/>
      <c r="H60" s="11"/>
      <c r="I60" s="11"/>
      <c r="J60" s="11"/>
      <c r="K60" s="11"/>
      <c r="L60" s="11"/>
      <c r="M60" s="4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Frissites_Felvettek_DiakLista">
                <anchor moveWithCells="1" sizeWithCells="1">
                  <from>
                    <xdr:col>0</xdr:col>
                    <xdr:colOff>190500</xdr:colOff>
                    <xdr:row>1</xdr:row>
                    <xdr:rowOff>0</xdr:rowOff>
                  </from>
                  <to>
                    <xdr:col>1</xdr:col>
                    <xdr:colOff>171450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Export_Felvettek_UjMunkafuzetbe">
                <anchor moveWithCells="1" sizeWithCells="1">
                  <from>
                    <xdr:col>0</xdr:col>
                    <xdr:colOff>38100</xdr:colOff>
                    <xdr:row>5</xdr:row>
                    <xdr:rowOff>0</xdr:rowOff>
                  </from>
                  <to>
                    <xdr:col>1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Export_Eselyesek_UjMunkafuzetbe">
                <anchor moveWithCells="1" siz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1</xdr:col>
                    <xdr:colOff>533400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Nezzuk_Elutasitottak_IrasbeliEsely">
                <anchor moveWithCells="1" sizeWithCells="1">
                  <from>
                    <xdr:col>0</xdr:col>
                    <xdr:colOff>180975</xdr:colOff>
                    <xdr:row>2</xdr:row>
                    <xdr:rowOff>161925</xdr:rowOff>
                  </from>
                  <to>
                    <xdr:col>1</xdr:col>
                    <xdr:colOff>295275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E3ED7-936B-44C9-9CAF-3898AC51254B}">
  <sheetPr codeName="Munka8"/>
  <dimension ref="A1:A343"/>
  <sheetViews>
    <sheetView workbookViewId="0"/>
  </sheetViews>
  <sheetFormatPr defaultRowHeight="15" x14ac:dyDescent="0.25"/>
  <sheetData>
    <row r="1" spans="1:1" x14ac:dyDescent="0.25">
      <c r="A1" t="s">
        <v>1085</v>
      </c>
    </row>
    <row r="2" spans="1:1" x14ac:dyDescent="0.25">
      <c r="A2" t="s">
        <v>708</v>
      </c>
    </row>
    <row r="3" spans="1:1" x14ac:dyDescent="0.25">
      <c r="A3" t="s">
        <v>709</v>
      </c>
    </row>
    <row r="4" spans="1:1" x14ac:dyDescent="0.25">
      <c r="A4" t="s">
        <v>710</v>
      </c>
    </row>
    <row r="5" spans="1:1" x14ac:dyDescent="0.25">
      <c r="A5" t="s">
        <v>711</v>
      </c>
    </row>
    <row r="6" spans="1:1" x14ac:dyDescent="0.25">
      <c r="A6" t="s">
        <v>712</v>
      </c>
    </row>
    <row r="7" spans="1:1" x14ac:dyDescent="0.25">
      <c r="A7" t="s">
        <v>713</v>
      </c>
    </row>
    <row r="8" spans="1:1" x14ac:dyDescent="0.25">
      <c r="A8" t="s">
        <v>714</v>
      </c>
    </row>
    <row r="9" spans="1:1" x14ac:dyDescent="0.25">
      <c r="A9" t="s">
        <v>715</v>
      </c>
    </row>
    <row r="10" spans="1:1" x14ac:dyDescent="0.25">
      <c r="A10" t="s">
        <v>716</v>
      </c>
    </row>
    <row r="11" spans="1:1" x14ac:dyDescent="0.25">
      <c r="A11" t="s">
        <v>717</v>
      </c>
    </row>
    <row r="12" spans="1:1" x14ac:dyDescent="0.25">
      <c r="A12" t="s">
        <v>718</v>
      </c>
    </row>
    <row r="13" spans="1:1" x14ac:dyDescent="0.25">
      <c r="A13" t="s">
        <v>719</v>
      </c>
    </row>
    <row r="14" spans="1:1" x14ac:dyDescent="0.25">
      <c r="A14" t="s">
        <v>720</v>
      </c>
    </row>
    <row r="15" spans="1:1" x14ac:dyDescent="0.25">
      <c r="A15" t="s">
        <v>721</v>
      </c>
    </row>
    <row r="16" spans="1:1" x14ac:dyDescent="0.25">
      <c r="A16" t="s">
        <v>722</v>
      </c>
    </row>
    <row r="17" spans="1:1" x14ac:dyDescent="0.25">
      <c r="A17" t="s">
        <v>723</v>
      </c>
    </row>
    <row r="18" spans="1:1" x14ac:dyDescent="0.25">
      <c r="A18" t="s">
        <v>724</v>
      </c>
    </row>
    <row r="19" spans="1:1" x14ac:dyDescent="0.25">
      <c r="A19" t="s">
        <v>725</v>
      </c>
    </row>
    <row r="20" spans="1:1" x14ac:dyDescent="0.25">
      <c r="A20" t="s">
        <v>726</v>
      </c>
    </row>
    <row r="21" spans="1:1" x14ac:dyDescent="0.25">
      <c r="A21" t="s">
        <v>727</v>
      </c>
    </row>
    <row r="22" spans="1:1" x14ac:dyDescent="0.25">
      <c r="A22" t="s">
        <v>728</v>
      </c>
    </row>
    <row r="23" spans="1:1" x14ac:dyDescent="0.25">
      <c r="A23" t="s">
        <v>729</v>
      </c>
    </row>
    <row r="24" spans="1:1" x14ac:dyDescent="0.25">
      <c r="A24" t="s">
        <v>730</v>
      </c>
    </row>
    <row r="25" spans="1:1" x14ac:dyDescent="0.25">
      <c r="A25" t="s">
        <v>731</v>
      </c>
    </row>
    <row r="26" spans="1:1" x14ac:dyDescent="0.25">
      <c r="A26" t="s">
        <v>732</v>
      </c>
    </row>
    <row r="27" spans="1:1" x14ac:dyDescent="0.25">
      <c r="A27" t="s">
        <v>733</v>
      </c>
    </row>
    <row r="28" spans="1:1" x14ac:dyDescent="0.25">
      <c r="A28" t="s">
        <v>734</v>
      </c>
    </row>
    <row r="29" spans="1:1" x14ac:dyDescent="0.25">
      <c r="A29" t="s">
        <v>735</v>
      </c>
    </row>
    <row r="30" spans="1:1" x14ac:dyDescent="0.25">
      <c r="A30" t="s">
        <v>736</v>
      </c>
    </row>
    <row r="31" spans="1:1" x14ac:dyDescent="0.25">
      <c r="A31" t="s">
        <v>737</v>
      </c>
    </row>
    <row r="32" spans="1:1" x14ac:dyDescent="0.25">
      <c r="A32" t="s">
        <v>738</v>
      </c>
    </row>
    <row r="33" spans="1:1" x14ac:dyDescent="0.25">
      <c r="A33" t="s">
        <v>739</v>
      </c>
    </row>
    <row r="34" spans="1:1" x14ac:dyDescent="0.25">
      <c r="A34" t="s">
        <v>740</v>
      </c>
    </row>
    <row r="35" spans="1:1" x14ac:dyDescent="0.25">
      <c r="A35" t="s">
        <v>741</v>
      </c>
    </row>
    <row r="36" spans="1:1" x14ac:dyDescent="0.25">
      <c r="A36" t="s">
        <v>742</v>
      </c>
    </row>
    <row r="37" spans="1:1" x14ac:dyDescent="0.25">
      <c r="A37" t="s">
        <v>743</v>
      </c>
    </row>
    <row r="38" spans="1:1" x14ac:dyDescent="0.25">
      <c r="A38" t="s">
        <v>744</v>
      </c>
    </row>
    <row r="39" spans="1:1" x14ac:dyDescent="0.25">
      <c r="A39" t="s">
        <v>745</v>
      </c>
    </row>
    <row r="40" spans="1:1" x14ac:dyDescent="0.25">
      <c r="A40" t="s">
        <v>746</v>
      </c>
    </row>
    <row r="41" spans="1:1" x14ac:dyDescent="0.25">
      <c r="A41" t="s">
        <v>747</v>
      </c>
    </row>
    <row r="42" spans="1:1" x14ac:dyDescent="0.25">
      <c r="A42" t="s">
        <v>748</v>
      </c>
    </row>
    <row r="43" spans="1:1" x14ac:dyDescent="0.25">
      <c r="A43" t="s">
        <v>749</v>
      </c>
    </row>
    <row r="44" spans="1:1" x14ac:dyDescent="0.25">
      <c r="A44" t="s">
        <v>750</v>
      </c>
    </row>
    <row r="45" spans="1:1" x14ac:dyDescent="0.25">
      <c r="A45" t="s">
        <v>751</v>
      </c>
    </row>
    <row r="46" spans="1:1" x14ac:dyDescent="0.25">
      <c r="A46" t="s">
        <v>752</v>
      </c>
    </row>
    <row r="47" spans="1:1" x14ac:dyDescent="0.25">
      <c r="A47" t="s">
        <v>753</v>
      </c>
    </row>
    <row r="48" spans="1:1" x14ac:dyDescent="0.25">
      <c r="A48" t="s">
        <v>754</v>
      </c>
    </row>
    <row r="49" spans="1:1" x14ac:dyDescent="0.25">
      <c r="A49" t="s">
        <v>755</v>
      </c>
    </row>
    <row r="50" spans="1:1" x14ac:dyDescent="0.25">
      <c r="A50" t="s">
        <v>756</v>
      </c>
    </row>
    <row r="51" spans="1:1" x14ac:dyDescent="0.25">
      <c r="A51" t="s">
        <v>757</v>
      </c>
    </row>
    <row r="52" spans="1:1" x14ac:dyDescent="0.25">
      <c r="A52" t="s">
        <v>758</v>
      </c>
    </row>
    <row r="53" spans="1:1" x14ac:dyDescent="0.25">
      <c r="A53" t="s">
        <v>759</v>
      </c>
    </row>
    <row r="54" spans="1:1" x14ac:dyDescent="0.25">
      <c r="A54" t="s">
        <v>760</v>
      </c>
    </row>
    <row r="55" spans="1:1" x14ac:dyDescent="0.25">
      <c r="A55" t="s">
        <v>761</v>
      </c>
    </row>
    <row r="56" spans="1:1" x14ac:dyDescent="0.25">
      <c r="A56" t="s">
        <v>762</v>
      </c>
    </row>
    <row r="57" spans="1:1" x14ac:dyDescent="0.25">
      <c r="A57" t="s">
        <v>763</v>
      </c>
    </row>
    <row r="58" spans="1:1" x14ac:dyDescent="0.25">
      <c r="A58" t="s">
        <v>764</v>
      </c>
    </row>
    <row r="59" spans="1:1" x14ac:dyDescent="0.25">
      <c r="A59" t="s">
        <v>765</v>
      </c>
    </row>
    <row r="60" spans="1:1" x14ac:dyDescent="0.25">
      <c r="A60" t="s">
        <v>766</v>
      </c>
    </row>
    <row r="61" spans="1:1" x14ac:dyDescent="0.25">
      <c r="A61" t="s">
        <v>767</v>
      </c>
    </row>
    <row r="62" spans="1:1" x14ac:dyDescent="0.25">
      <c r="A62" t="s">
        <v>768</v>
      </c>
    </row>
    <row r="63" spans="1:1" x14ac:dyDescent="0.25">
      <c r="A63" t="s">
        <v>769</v>
      </c>
    </row>
    <row r="64" spans="1:1" x14ac:dyDescent="0.25">
      <c r="A64" t="s">
        <v>770</v>
      </c>
    </row>
    <row r="65" spans="1:1" x14ac:dyDescent="0.25">
      <c r="A65" t="s">
        <v>771</v>
      </c>
    </row>
    <row r="66" spans="1:1" x14ac:dyDescent="0.25">
      <c r="A66" t="s">
        <v>772</v>
      </c>
    </row>
    <row r="67" spans="1:1" x14ac:dyDescent="0.25">
      <c r="A67" t="s">
        <v>773</v>
      </c>
    </row>
    <row r="68" spans="1:1" x14ac:dyDescent="0.25">
      <c r="A68" t="s">
        <v>774</v>
      </c>
    </row>
    <row r="69" spans="1:1" x14ac:dyDescent="0.25">
      <c r="A69" t="s">
        <v>775</v>
      </c>
    </row>
    <row r="70" spans="1:1" x14ac:dyDescent="0.25">
      <c r="A70" t="s">
        <v>776</v>
      </c>
    </row>
    <row r="71" spans="1:1" x14ac:dyDescent="0.25">
      <c r="A71" t="s">
        <v>777</v>
      </c>
    </row>
    <row r="72" spans="1:1" x14ac:dyDescent="0.25">
      <c r="A72" t="s">
        <v>778</v>
      </c>
    </row>
    <row r="73" spans="1:1" x14ac:dyDescent="0.25">
      <c r="A73" t="s">
        <v>779</v>
      </c>
    </row>
    <row r="74" spans="1:1" x14ac:dyDescent="0.25">
      <c r="A74" t="s">
        <v>780</v>
      </c>
    </row>
    <row r="75" spans="1:1" x14ac:dyDescent="0.25">
      <c r="A75" t="s">
        <v>781</v>
      </c>
    </row>
    <row r="76" spans="1:1" x14ac:dyDescent="0.25">
      <c r="A76" t="s">
        <v>782</v>
      </c>
    </row>
    <row r="77" spans="1:1" x14ac:dyDescent="0.25">
      <c r="A77" t="s">
        <v>783</v>
      </c>
    </row>
    <row r="78" spans="1:1" x14ac:dyDescent="0.25">
      <c r="A78" t="s">
        <v>784</v>
      </c>
    </row>
    <row r="79" spans="1:1" x14ac:dyDescent="0.25">
      <c r="A79" t="s">
        <v>785</v>
      </c>
    </row>
    <row r="80" spans="1:1" x14ac:dyDescent="0.25">
      <c r="A80" t="s">
        <v>786</v>
      </c>
    </row>
    <row r="81" spans="1:1" x14ac:dyDescent="0.25">
      <c r="A81" t="s">
        <v>787</v>
      </c>
    </row>
    <row r="82" spans="1:1" x14ac:dyDescent="0.25">
      <c r="A82" t="s">
        <v>788</v>
      </c>
    </row>
    <row r="83" spans="1:1" x14ac:dyDescent="0.25">
      <c r="A83" t="s">
        <v>789</v>
      </c>
    </row>
    <row r="84" spans="1:1" x14ac:dyDescent="0.25">
      <c r="A84" t="s">
        <v>790</v>
      </c>
    </row>
    <row r="85" spans="1:1" x14ac:dyDescent="0.25">
      <c r="A85" t="s">
        <v>791</v>
      </c>
    </row>
    <row r="86" spans="1:1" x14ac:dyDescent="0.25">
      <c r="A86" t="s">
        <v>792</v>
      </c>
    </row>
    <row r="87" spans="1:1" x14ac:dyDescent="0.25">
      <c r="A87" t="s">
        <v>793</v>
      </c>
    </row>
    <row r="88" spans="1:1" x14ac:dyDescent="0.25">
      <c r="A88" t="s">
        <v>794</v>
      </c>
    </row>
    <row r="89" spans="1:1" x14ac:dyDescent="0.25">
      <c r="A89" t="s">
        <v>795</v>
      </c>
    </row>
    <row r="90" spans="1:1" x14ac:dyDescent="0.25">
      <c r="A90" t="s">
        <v>796</v>
      </c>
    </row>
    <row r="91" spans="1:1" x14ac:dyDescent="0.25">
      <c r="A91" t="s">
        <v>797</v>
      </c>
    </row>
    <row r="92" spans="1:1" x14ac:dyDescent="0.25">
      <c r="A92" t="s">
        <v>798</v>
      </c>
    </row>
    <row r="93" spans="1:1" x14ac:dyDescent="0.25">
      <c r="A93" t="s">
        <v>799</v>
      </c>
    </row>
    <row r="94" spans="1:1" x14ac:dyDescent="0.25">
      <c r="A94" t="s">
        <v>800</v>
      </c>
    </row>
    <row r="95" spans="1:1" x14ac:dyDescent="0.25">
      <c r="A95" t="s">
        <v>801</v>
      </c>
    </row>
    <row r="96" spans="1:1" x14ac:dyDescent="0.25">
      <c r="A96" t="s">
        <v>802</v>
      </c>
    </row>
    <row r="97" spans="1:1" x14ac:dyDescent="0.25">
      <c r="A97" t="s">
        <v>803</v>
      </c>
    </row>
    <row r="98" spans="1:1" x14ac:dyDescent="0.25">
      <c r="A98" t="s">
        <v>804</v>
      </c>
    </row>
    <row r="99" spans="1:1" x14ac:dyDescent="0.25">
      <c r="A99" t="s">
        <v>806</v>
      </c>
    </row>
    <row r="100" spans="1:1" x14ac:dyDescent="0.25">
      <c r="A100" t="s">
        <v>807</v>
      </c>
    </row>
    <row r="101" spans="1:1" x14ac:dyDescent="0.25">
      <c r="A101" t="s">
        <v>808</v>
      </c>
    </row>
    <row r="102" spans="1:1" x14ac:dyDescent="0.25">
      <c r="A102" t="s">
        <v>809</v>
      </c>
    </row>
    <row r="103" spans="1:1" x14ac:dyDescent="0.25">
      <c r="A103" t="s">
        <v>810</v>
      </c>
    </row>
    <row r="104" spans="1:1" x14ac:dyDescent="0.25">
      <c r="A104" t="s">
        <v>811</v>
      </c>
    </row>
    <row r="105" spans="1:1" x14ac:dyDescent="0.25">
      <c r="A105" t="s">
        <v>812</v>
      </c>
    </row>
    <row r="106" spans="1:1" x14ac:dyDescent="0.25">
      <c r="A106" t="s">
        <v>813</v>
      </c>
    </row>
    <row r="107" spans="1:1" x14ac:dyDescent="0.25">
      <c r="A107" t="s">
        <v>814</v>
      </c>
    </row>
    <row r="108" spans="1:1" x14ac:dyDescent="0.25">
      <c r="A108" t="s">
        <v>815</v>
      </c>
    </row>
    <row r="109" spans="1:1" x14ac:dyDescent="0.25">
      <c r="A109" t="s">
        <v>816</v>
      </c>
    </row>
    <row r="110" spans="1:1" x14ac:dyDescent="0.25">
      <c r="A110" t="s">
        <v>817</v>
      </c>
    </row>
    <row r="111" spans="1:1" x14ac:dyDescent="0.25">
      <c r="A111" t="s">
        <v>818</v>
      </c>
    </row>
    <row r="112" spans="1:1" x14ac:dyDescent="0.25">
      <c r="A112" t="s">
        <v>819</v>
      </c>
    </row>
    <row r="113" spans="1:1" x14ac:dyDescent="0.25">
      <c r="A113" t="s">
        <v>820</v>
      </c>
    </row>
    <row r="114" spans="1:1" x14ac:dyDescent="0.25">
      <c r="A114" t="s">
        <v>821</v>
      </c>
    </row>
    <row r="115" spans="1:1" x14ac:dyDescent="0.25">
      <c r="A115" t="s">
        <v>822</v>
      </c>
    </row>
    <row r="116" spans="1:1" x14ac:dyDescent="0.25">
      <c r="A116" t="s">
        <v>823</v>
      </c>
    </row>
    <row r="117" spans="1:1" x14ac:dyDescent="0.25">
      <c r="A117" t="s">
        <v>824</v>
      </c>
    </row>
    <row r="118" spans="1:1" x14ac:dyDescent="0.25">
      <c r="A118" t="s">
        <v>825</v>
      </c>
    </row>
    <row r="119" spans="1:1" x14ac:dyDescent="0.25">
      <c r="A119" t="s">
        <v>826</v>
      </c>
    </row>
    <row r="120" spans="1:1" x14ac:dyDescent="0.25">
      <c r="A120" t="s">
        <v>827</v>
      </c>
    </row>
    <row r="121" spans="1:1" x14ac:dyDescent="0.25">
      <c r="A121" t="s">
        <v>828</v>
      </c>
    </row>
    <row r="122" spans="1:1" x14ac:dyDescent="0.25">
      <c r="A122" t="s">
        <v>1083</v>
      </c>
    </row>
    <row r="123" spans="1:1" x14ac:dyDescent="0.25">
      <c r="A123" t="s">
        <v>829</v>
      </c>
    </row>
    <row r="124" spans="1:1" x14ac:dyDescent="0.25">
      <c r="A124" t="s">
        <v>830</v>
      </c>
    </row>
    <row r="125" spans="1:1" x14ac:dyDescent="0.25">
      <c r="A125" t="s">
        <v>831</v>
      </c>
    </row>
    <row r="126" spans="1:1" x14ac:dyDescent="0.25">
      <c r="A126" t="s">
        <v>832</v>
      </c>
    </row>
    <row r="127" spans="1:1" x14ac:dyDescent="0.25">
      <c r="A127" t="s">
        <v>833</v>
      </c>
    </row>
    <row r="128" spans="1:1" x14ac:dyDescent="0.25">
      <c r="A128" t="s">
        <v>834</v>
      </c>
    </row>
    <row r="129" spans="1:1" x14ac:dyDescent="0.25">
      <c r="A129" t="s">
        <v>835</v>
      </c>
    </row>
    <row r="130" spans="1:1" x14ac:dyDescent="0.25">
      <c r="A130" t="s">
        <v>836</v>
      </c>
    </row>
    <row r="131" spans="1:1" x14ac:dyDescent="0.25">
      <c r="A131" t="s">
        <v>837</v>
      </c>
    </row>
    <row r="132" spans="1:1" x14ac:dyDescent="0.25">
      <c r="A132" t="s">
        <v>838</v>
      </c>
    </row>
    <row r="133" spans="1:1" x14ac:dyDescent="0.25">
      <c r="A133" t="s">
        <v>839</v>
      </c>
    </row>
    <row r="134" spans="1:1" x14ac:dyDescent="0.25">
      <c r="A134" t="s">
        <v>840</v>
      </c>
    </row>
    <row r="135" spans="1:1" x14ac:dyDescent="0.25">
      <c r="A135" t="s">
        <v>841</v>
      </c>
    </row>
    <row r="136" spans="1:1" x14ac:dyDescent="0.25">
      <c r="A136" t="s">
        <v>842</v>
      </c>
    </row>
    <row r="137" spans="1:1" x14ac:dyDescent="0.25">
      <c r="A137" t="s">
        <v>843</v>
      </c>
    </row>
    <row r="138" spans="1:1" x14ac:dyDescent="0.25">
      <c r="A138" t="s">
        <v>844</v>
      </c>
    </row>
    <row r="139" spans="1:1" x14ac:dyDescent="0.25">
      <c r="A139" t="s">
        <v>845</v>
      </c>
    </row>
    <row r="140" spans="1:1" x14ac:dyDescent="0.25">
      <c r="A140" t="s">
        <v>846</v>
      </c>
    </row>
    <row r="141" spans="1:1" x14ac:dyDescent="0.25">
      <c r="A141" t="s">
        <v>847</v>
      </c>
    </row>
    <row r="142" spans="1:1" x14ac:dyDescent="0.25">
      <c r="A142" t="s">
        <v>848</v>
      </c>
    </row>
    <row r="143" spans="1:1" x14ac:dyDescent="0.25">
      <c r="A143" t="s">
        <v>849</v>
      </c>
    </row>
    <row r="144" spans="1:1" x14ac:dyDescent="0.25">
      <c r="A144" t="s">
        <v>850</v>
      </c>
    </row>
    <row r="145" spans="1:1" x14ac:dyDescent="0.25">
      <c r="A145" t="s">
        <v>851</v>
      </c>
    </row>
    <row r="146" spans="1:1" x14ac:dyDescent="0.25">
      <c r="A146" t="s">
        <v>852</v>
      </c>
    </row>
    <row r="147" spans="1:1" x14ac:dyDescent="0.25">
      <c r="A147" t="s">
        <v>853</v>
      </c>
    </row>
    <row r="148" spans="1:1" x14ac:dyDescent="0.25">
      <c r="A148" t="s">
        <v>854</v>
      </c>
    </row>
    <row r="149" spans="1:1" x14ac:dyDescent="0.25">
      <c r="A149" t="s">
        <v>855</v>
      </c>
    </row>
    <row r="150" spans="1:1" x14ac:dyDescent="0.25">
      <c r="A150" t="s">
        <v>856</v>
      </c>
    </row>
    <row r="151" spans="1:1" x14ac:dyDescent="0.25">
      <c r="A151" t="s">
        <v>857</v>
      </c>
    </row>
    <row r="152" spans="1:1" x14ac:dyDescent="0.25">
      <c r="A152" t="s">
        <v>858</v>
      </c>
    </row>
    <row r="153" spans="1:1" x14ac:dyDescent="0.25">
      <c r="A153" t="s">
        <v>859</v>
      </c>
    </row>
    <row r="154" spans="1:1" x14ac:dyDescent="0.25">
      <c r="A154" t="s">
        <v>860</v>
      </c>
    </row>
    <row r="155" spans="1:1" x14ac:dyDescent="0.25">
      <c r="A155" t="s">
        <v>861</v>
      </c>
    </row>
    <row r="156" spans="1:1" x14ac:dyDescent="0.25">
      <c r="A156" t="s">
        <v>862</v>
      </c>
    </row>
    <row r="157" spans="1:1" x14ac:dyDescent="0.25">
      <c r="A157" t="s">
        <v>863</v>
      </c>
    </row>
    <row r="158" spans="1:1" x14ac:dyDescent="0.25">
      <c r="A158" t="s">
        <v>864</v>
      </c>
    </row>
    <row r="159" spans="1:1" x14ac:dyDescent="0.25">
      <c r="A159" t="s">
        <v>865</v>
      </c>
    </row>
    <row r="160" spans="1:1" x14ac:dyDescent="0.25">
      <c r="A160" t="s">
        <v>866</v>
      </c>
    </row>
    <row r="161" spans="1:1" x14ac:dyDescent="0.25">
      <c r="A161" t="s">
        <v>867</v>
      </c>
    </row>
    <row r="162" spans="1:1" x14ac:dyDescent="0.25">
      <c r="A162" t="s">
        <v>868</v>
      </c>
    </row>
    <row r="163" spans="1:1" x14ac:dyDescent="0.25">
      <c r="A163" t="s">
        <v>869</v>
      </c>
    </row>
    <row r="164" spans="1:1" x14ac:dyDescent="0.25">
      <c r="A164" t="s">
        <v>870</v>
      </c>
    </row>
    <row r="165" spans="1:1" x14ac:dyDescent="0.25">
      <c r="A165" t="s">
        <v>871</v>
      </c>
    </row>
    <row r="166" spans="1:1" x14ac:dyDescent="0.25">
      <c r="A166" t="s">
        <v>873</v>
      </c>
    </row>
    <row r="167" spans="1:1" x14ac:dyDescent="0.25">
      <c r="A167" t="s">
        <v>874</v>
      </c>
    </row>
    <row r="168" spans="1:1" x14ac:dyDescent="0.25">
      <c r="A168" t="s">
        <v>875</v>
      </c>
    </row>
    <row r="169" spans="1:1" x14ac:dyDescent="0.25">
      <c r="A169" t="s">
        <v>876</v>
      </c>
    </row>
    <row r="170" spans="1:1" x14ac:dyDescent="0.25">
      <c r="A170" t="s">
        <v>877</v>
      </c>
    </row>
    <row r="171" spans="1:1" x14ac:dyDescent="0.25">
      <c r="A171" t="s">
        <v>878</v>
      </c>
    </row>
    <row r="172" spans="1:1" x14ac:dyDescent="0.25">
      <c r="A172" t="s">
        <v>879</v>
      </c>
    </row>
    <row r="173" spans="1:1" x14ac:dyDescent="0.25">
      <c r="A173" t="s">
        <v>880</v>
      </c>
    </row>
    <row r="174" spans="1:1" x14ac:dyDescent="0.25">
      <c r="A174" t="s">
        <v>881</v>
      </c>
    </row>
    <row r="175" spans="1:1" x14ac:dyDescent="0.25">
      <c r="A175" t="s">
        <v>882</v>
      </c>
    </row>
    <row r="176" spans="1:1" x14ac:dyDescent="0.25">
      <c r="A176" t="s">
        <v>883</v>
      </c>
    </row>
    <row r="177" spans="1:1" x14ac:dyDescent="0.25">
      <c r="A177" t="s">
        <v>884</v>
      </c>
    </row>
    <row r="178" spans="1:1" x14ac:dyDescent="0.25">
      <c r="A178" t="s">
        <v>885</v>
      </c>
    </row>
    <row r="179" spans="1:1" x14ac:dyDescent="0.25">
      <c r="A179" t="s">
        <v>886</v>
      </c>
    </row>
    <row r="180" spans="1:1" x14ac:dyDescent="0.25">
      <c r="A180" t="s">
        <v>887</v>
      </c>
    </row>
    <row r="181" spans="1:1" x14ac:dyDescent="0.25">
      <c r="A181" t="s">
        <v>888</v>
      </c>
    </row>
    <row r="182" spans="1:1" x14ac:dyDescent="0.25">
      <c r="A182" t="s">
        <v>889</v>
      </c>
    </row>
    <row r="183" spans="1:1" x14ac:dyDescent="0.25">
      <c r="A183" t="s">
        <v>890</v>
      </c>
    </row>
    <row r="184" spans="1:1" x14ac:dyDescent="0.25">
      <c r="A184" t="s">
        <v>891</v>
      </c>
    </row>
    <row r="185" spans="1:1" x14ac:dyDescent="0.25">
      <c r="A185" t="s">
        <v>892</v>
      </c>
    </row>
    <row r="186" spans="1:1" x14ac:dyDescent="0.25">
      <c r="A186" t="s">
        <v>893</v>
      </c>
    </row>
    <row r="187" spans="1:1" x14ac:dyDescent="0.25">
      <c r="A187" t="s">
        <v>894</v>
      </c>
    </row>
    <row r="188" spans="1:1" x14ac:dyDescent="0.25">
      <c r="A188" t="s">
        <v>895</v>
      </c>
    </row>
    <row r="189" spans="1:1" x14ac:dyDescent="0.25">
      <c r="A189" t="s">
        <v>896</v>
      </c>
    </row>
    <row r="190" spans="1:1" x14ac:dyDescent="0.25">
      <c r="A190" t="s">
        <v>897</v>
      </c>
    </row>
    <row r="191" spans="1:1" x14ac:dyDescent="0.25">
      <c r="A191" t="s">
        <v>898</v>
      </c>
    </row>
    <row r="192" spans="1:1" x14ac:dyDescent="0.25">
      <c r="A192" t="s">
        <v>899</v>
      </c>
    </row>
    <row r="193" spans="1:1" x14ac:dyDescent="0.25">
      <c r="A193" t="s">
        <v>900</v>
      </c>
    </row>
    <row r="194" spans="1:1" x14ac:dyDescent="0.25">
      <c r="A194" t="s">
        <v>901</v>
      </c>
    </row>
    <row r="195" spans="1:1" x14ac:dyDescent="0.25">
      <c r="A195" t="s">
        <v>902</v>
      </c>
    </row>
    <row r="196" spans="1:1" x14ac:dyDescent="0.25">
      <c r="A196" t="s">
        <v>903</v>
      </c>
    </row>
    <row r="197" spans="1:1" x14ac:dyDescent="0.25">
      <c r="A197" t="s">
        <v>904</v>
      </c>
    </row>
    <row r="198" spans="1:1" x14ac:dyDescent="0.25">
      <c r="A198" t="s">
        <v>905</v>
      </c>
    </row>
    <row r="199" spans="1:1" x14ac:dyDescent="0.25">
      <c r="A199" t="s">
        <v>906</v>
      </c>
    </row>
    <row r="200" spans="1:1" x14ac:dyDescent="0.25">
      <c r="A200" t="s">
        <v>907</v>
      </c>
    </row>
    <row r="201" spans="1:1" x14ac:dyDescent="0.25">
      <c r="A201" t="s">
        <v>908</v>
      </c>
    </row>
    <row r="202" spans="1:1" x14ac:dyDescent="0.25">
      <c r="A202" t="s">
        <v>909</v>
      </c>
    </row>
    <row r="203" spans="1:1" x14ac:dyDescent="0.25">
      <c r="A203" t="s">
        <v>910</v>
      </c>
    </row>
    <row r="204" spans="1:1" x14ac:dyDescent="0.25">
      <c r="A204" t="s">
        <v>911</v>
      </c>
    </row>
    <row r="205" spans="1:1" x14ac:dyDescent="0.25">
      <c r="A205" t="s">
        <v>912</v>
      </c>
    </row>
    <row r="206" spans="1:1" x14ac:dyDescent="0.25">
      <c r="A206" t="s">
        <v>913</v>
      </c>
    </row>
    <row r="207" spans="1:1" x14ac:dyDescent="0.25">
      <c r="A207" t="s">
        <v>914</v>
      </c>
    </row>
    <row r="208" spans="1:1" x14ac:dyDescent="0.25">
      <c r="A208" t="s">
        <v>915</v>
      </c>
    </row>
    <row r="209" spans="1:1" x14ac:dyDescent="0.25">
      <c r="A209" t="s">
        <v>916</v>
      </c>
    </row>
    <row r="210" spans="1:1" x14ac:dyDescent="0.25">
      <c r="A210" t="s">
        <v>917</v>
      </c>
    </row>
    <row r="211" spans="1:1" x14ac:dyDescent="0.25">
      <c r="A211" t="s">
        <v>918</v>
      </c>
    </row>
    <row r="212" spans="1:1" x14ac:dyDescent="0.25">
      <c r="A212" t="s">
        <v>919</v>
      </c>
    </row>
    <row r="213" spans="1:1" x14ac:dyDescent="0.25">
      <c r="A213" t="s">
        <v>920</v>
      </c>
    </row>
    <row r="214" spans="1:1" x14ac:dyDescent="0.25">
      <c r="A214" t="s">
        <v>921</v>
      </c>
    </row>
    <row r="215" spans="1:1" x14ac:dyDescent="0.25">
      <c r="A215" t="s">
        <v>922</v>
      </c>
    </row>
    <row r="216" spans="1:1" x14ac:dyDescent="0.25">
      <c r="A216" t="s">
        <v>923</v>
      </c>
    </row>
    <row r="217" spans="1:1" x14ac:dyDescent="0.25">
      <c r="A217" t="s">
        <v>924</v>
      </c>
    </row>
    <row r="218" spans="1:1" x14ac:dyDescent="0.25">
      <c r="A218" t="s">
        <v>925</v>
      </c>
    </row>
    <row r="219" spans="1:1" x14ac:dyDescent="0.25">
      <c r="A219" t="s">
        <v>926</v>
      </c>
    </row>
    <row r="220" spans="1:1" x14ac:dyDescent="0.25">
      <c r="A220" t="s">
        <v>927</v>
      </c>
    </row>
    <row r="221" spans="1:1" x14ac:dyDescent="0.25">
      <c r="A221" t="s">
        <v>928</v>
      </c>
    </row>
    <row r="222" spans="1:1" x14ac:dyDescent="0.25">
      <c r="A222" t="s">
        <v>929</v>
      </c>
    </row>
    <row r="223" spans="1:1" x14ac:dyDescent="0.25">
      <c r="A223" t="s">
        <v>930</v>
      </c>
    </row>
    <row r="224" spans="1:1" x14ac:dyDescent="0.25">
      <c r="A224" t="s">
        <v>931</v>
      </c>
    </row>
    <row r="225" spans="1:1" x14ac:dyDescent="0.25">
      <c r="A225" t="s">
        <v>932</v>
      </c>
    </row>
    <row r="226" spans="1:1" x14ac:dyDescent="0.25">
      <c r="A226" t="s">
        <v>933</v>
      </c>
    </row>
    <row r="227" spans="1:1" x14ac:dyDescent="0.25">
      <c r="A227" t="s">
        <v>934</v>
      </c>
    </row>
    <row r="228" spans="1:1" x14ac:dyDescent="0.25">
      <c r="A228" t="s">
        <v>935</v>
      </c>
    </row>
    <row r="229" spans="1:1" x14ac:dyDescent="0.25">
      <c r="A229" t="s">
        <v>936</v>
      </c>
    </row>
    <row r="230" spans="1:1" x14ac:dyDescent="0.25">
      <c r="A230" t="s">
        <v>937</v>
      </c>
    </row>
    <row r="231" spans="1:1" x14ac:dyDescent="0.25">
      <c r="A231" t="s">
        <v>938</v>
      </c>
    </row>
    <row r="232" spans="1:1" x14ac:dyDescent="0.25">
      <c r="A232" t="s">
        <v>939</v>
      </c>
    </row>
    <row r="233" spans="1:1" x14ac:dyDescent="0.25">
      <c r="A233" t="s">
        <v>940</v>
      </c>
    </row>
    <row r="234" spans="1:1" x14ac:dyDescent="0.25">
      <c r="A234" t="s">
        <v>941</v>
      </c>
    </row>
    <row r="235" spans="1:1" x14ac:dyDescent="0.25">
      <c r="A235" t="s">
        <v>942</v>
      </c>
    </row>
    <row r="236" spans="1:1" x14ac:dyDescent="0.25">
      <c r="A236" t="s">
        <v>943</v>
      </c>
    </row>
    <row r="237" spans="1:1" x14ac:dyDescent="0.25">
      <c r="A237" t="s">
        <v>944</v>
      </c>
    </row>
    <row r="238" spans="1:1" x14ac:dyDescent="0.25">
      <c r="A238" t="s">
        <v>945</v>
      </c>
    </row>
    <row r="239" spans="1:1" x14ac:dyDescent="0.25">
      <c r="A239" t="s">
        <v>946</v>
      </c>
    </row>
    <row r="240" spans="1:1" x14ac:dyDescent="0.25">
      <c r="A240" t="s">
        <v>947</v>
      </c>
    </row>
    <row r="241" spans="1:1" x14ac:dyDescent="0.25">
      <c r="A241" t="s">
        <v>948</v>
      </c>
    </row>
    <row r="242" spans="1:1" x14ac:dyDescent="0.25">
      <c r="A242" t="s">
        <v>949</v>
      </c>
    </row>
    <row r="243" spans="1:1" x14ac:dyDescent="0.25">
      <c r="A243" t="s">
        <v>950</v>
      </c>
    </row>
    <row r="244" spans="1:1" x14ac:dyDescent="0.25">
      <c r="A244" t="s">
        <v>951</v>
      </c>
    </row>
    <row r="245" spans="1:1" x14ac:dyDescent="0.25">
      <c r="A245" t="s">
        <v>952</v>
      </c>
    </row>
    <row r="246" spans="1:1" x14ac:dyDescent="0.25">
      <c r="A246" t="s">
        <v>953</v>
      </c>
    </row>
    <row r="247" spans="1:1" x14ac:dyDescent="0.25">
      <c r="A247" t="s">
        <v>954</v>
      </c>
    </row>
    <row r="248" spans="1:1" x14ac:dyDescent="0.25">
      <c r="A248" t="s">
        <v>955</v>
      </c>
    </row>
    <row r="249" spans="1:1" x14ac:dyDescent="0.25">
      <c r="A249" t="s">
        <v>956</v>
      </c>
    </row>
    <row r="250" spans="1:1" x14ac:dyDescent="0.25">
      <c r="A250" t="s">
        <v>957</v>
      </c>
    </row>
    <row r="251" spans="1:1" x14ac:dyDescent="0.25">
      <c r="A251" t="s">
        <v>958</v>
      </c>
    </row>
    <row r="252" spans="1:1" x14ac:dyDescent="0.25">
      <c r="A252" t="s">
        <v>959</v>
      </c>
    </row>
    <row r="253" spans="1:1" x14ac:dyDescent="0.25">
      <c r="A253" t="s">
        <v>960</v>
      </c>
    </row>
    <row r="254" spans="1:1" x14ac:dyDescent="0.25">
      <c r="A254" t="s">
        <v>961</v>
      </c>
    </row>
    <row r="255" spans="1:1" x14ac:dyDescent="0.25">
      <c r="A255" t="s">
        <v>962</v>
      </c>
    </row>
    <row r="256" spans="1:1" x14ac:dyDescent="0.25">
      <c r="A256" t="s">
        <v>963</v>
      </c>
    </row>
    <row r="257" spans="1:1" x14ac:dyDescent="0.25">
      <c r="A257" t="s">
        <v>964</v>
      </c>
    </row>
    <row r="258" spans="1:1" x14ac:dyDescent="0.25">
      <c r="A258" t="s">
        <v>965</v>
      </c>
    </row>
    <row r="259" spans="1:1" x14ac:dyDescent="0.25">
      <c r="A259" t="s">
        <v>966</v>
      </c>
    </row>
    <row r="260" spans="1:1" x14ac:dyDescent="0.25">
      <c r="A260" t="s">
        <v>967</v>
      </c>
    </row>
    <row r="261" spans="1:1" x14ac:dyDescent="0.25">
      <c r="A261" t="s">
        <v>968</v>
      </c>
    </row>
    <row r="262" spans="1:1" x14ac:dyDescent="0.25">
      <c r="A262" t="s">
        <v>969</v>
      </c>
    </row>
    <row r="263" spans="1:1" x14ac:dyDescent="0.25">
      <c r="A263" t="s">
        <v>970</v>
      </c>
    </row>
    <row r="264" spans="1:1" x14ac:dyDescent="0.25">
      <c r="A264" t="s">
        <v>971</v>
      </c>
    </row>
    <row r="265" spans="1:1" x14ac:dyDescent="0.25">
      <c r="A265" t="s">
        <v>972</v>
      </c>
    </row>
    <row r="266" spans="1:1" x14ac:dyDescent="0.25">
      <c r="A266" t="s">
        <v>973</v>
      </c>
    </row>
    <row r="267" spans="1:1" x14ac:dyDescent="0.25">
      <c r="A267" t="s">
        <v>974</v>
      </c>
    </row>
    <row r="268" spans="1:1" x14ac:dyDescent="0.25">
      <c r="A268" t="s">
        <v>975</v>
      </c>
    </row>
    <row r="269" spans="1:1" x14ac:dyDescent="0.25">
      <c r="A269" t="s">
        <v>976</v>
      </c>
    </row>
    <row r="270" spans="1:1" x14ac:dyDescent="0.25">
      <c r="A270" t="s">
        <v>977</v>
      </c>
    </row>
    <row r="271" spans="1:1" x14ac:dyDescent="0.25">
      <c r="A271" t="s">
        <v>978</v>
      </c>
    </row>
    <row r="272" spans="1:1" x14ac:dyDescent="0.25">
      <c r="A272" t="s">
        <v>979</v>
      </c>
    </row>
    <row r="273" spans="1:1" x14ac:dyDescent="0.25">
      <c r="A273" t="s">
        <v>980</v>
      </c>
    </row>
    <row r="274" spans="1:1" x14ac:dyDescent="0.25">
      <c r="A274" t="s">
        <v>981</v>
      </c>
    </row>
    <row r="275" spans="1:1" x14ac:dyDescent="0.25">
      <c r="A275" t="s">
        <v>982</v>
      </c>
    </row>
    <row r="276" spans="1:1" x14ac:dyDescent="0.25">
      <c r="A276" t="s">
        <v>983</v>
      </c>
    </row>
    <row r="277" spans="1:1" x14ac:dyDescent="0.25">
      <c r="A277" t="s">
        <v>1084</v>
      </c>
    </row>
    <row r="278" spans="1:1" x14ac:dyDescent="0.25">
      <c r="A278" t="s">
        <v>984</v>
      </c>
    </row>
    <row r="279" spans="1:1" x14ac:dyDescent="0.25">
      <c r="A279" t="s">
        <v>985</v>
      </c>
    </row>
    <row r="280" spans="1:1" x14ac:dyDescent="0.25">
      <c r="A280" t="s">
        <v>986</v>
      </c>
    </row>
    <row r="281" spans="1:1" x14ac:dyDescent="0.25">
      <c r="A281" t="s">
        <v>987</v>
      </c>
    </row>
    <row r="282" spans="1:1" x14ac:dyDescent="0.25">
      <c r="A282" t="s">
        <v>988</v>
      </c>
    </row>
    <row r="283" spans="1:1" x14ac:dyDescent="0.25">
      <c r="A283" t="s">
        <v>989</v>
      </c>
    </row>
    <row r="284" spans="1:1" x14ac:dyDescent="0.25">
      <c r="A284" t="s">
        <v>990</v>
      </c>
    </row>
    <row r="285" spans="1:1" x14ac:dyDescent="0.25">
      <c r="A285" t="s">
        <v>991</v>
      </c>
    </row>
    <row r="286" spans="1:1" x14ac:dyDescent="0.25">
      <c r="A286" t="s">
        <v>992</v>
      </c>
    </row>
    <row r="287" spans="1:1" x14ac:dyDescent="0.25">
      <c r="A287" t="s">
        <v>993</v>
      </c>
    </row>
    <row r="288" spans="1:1" x14ac:dyDescent="0.25">
      <c r="A288" t="s">
        <v>994</v>
      </c>
    </row>
    <row r="289" spans="1:1" x14ac:dyDescent="0.25">
      <c r="A289" t="s">
        <v>995</v>
      </c>
    </row>
    <row r="290" spans="1:1" x14ac:dyDescent="0.25">
      <c r="A290" t="s">
        <v>996</v>
      </c>
    </row>
    <row r="291" spans="1:1" x14ac:dyDescent="0.25">
      <c r="A291" t="s">
        <v>997</v>
      </c>
    </row>
    <row r="292" spans="1:1" x14ac:dyDescent="0.25">
      <c r="A292" t="s">
        <v>998</v>
      </c>
    </row>
    <row r="293" spans="1:1" x14ac:dyDescent="0.25">
      <c r="A293" t="s">
        <v>999</v>
      </c>
    </row>
    <row r="294" spans="1:1" x14ac:dyDescent="0.25">
      <c r="A294" t="s">
        <v>1000</v>
      </c>
    </row>
    <row r="295" spans="1:1" x14ac:dyDescent="0.25">
      <c r="A295" t="s">
        <v>1001</v>
      </c>
    </row>
    <row r="296" spans="1:1" x14ac:dyDescent="0.25">
      <c r="A296" t="s">
        <v>1002</v>
      </c>
    </row>
    <row r="297" spans="1:1" x14ac:dyDescent="0.25">
      <c r="A297" t="s">
        <v>1003</v>
      </c>
    </row>
    <row r="298" spans="1:1" x14ac:dyDescent="0.25">
      <c r="A298" t="s">
        <v>1004</v>
      </c>
    </row>
    <row r="299" spans="1:1" x14ac:dyDescent="0.25">
      <c r="A299" t="s">
        <v>1005</v>
      </c>
    </row>
    <row r="300" spans="1:1" x14ac:dyDescent="0.25">
      <c r="A300" t="s">
        <v>1006</v>
      </c>
    </row>
    <row r="301" spans="1:1" x14ac:dyDescent="0.25">
      <c r="A301" t="s">
        <v>1007</v>
      </c>
    </row>
    <row r="302" spans="1:1" x14ac:dyDescent="0.25">
      <c r="A302" t="s">
        <v>1008</v>
      </c>
    </row>
    <row r="303" spans="1:1" x14ac:dyDescent="0.25">
      <c r="A303" t="s">
        <v>1009</v>
      </c>
    </row>
    <row r="304" spans="1:1" x14ac:dyDescent="0.25">
      <c r="A304" t="s">
        <v>1010</v>
      </c>
    </row>
    <row r="305" spans="1:1" x14ac:dyDescent="0.25">
      <c r="A305" t="s">
        <v>1011</v>
      </c>
    </row>
    <row r="306" spans="1:1" x14ac:dyDescent="0.25">
      <c r="A306" t="s">
        <v>1012</v>
      </c>
    </row>
    <row r="307" spans="1:1" x14ac:dyDescent="0.25">
      <c r="A307" t="s">
        <v>1013</v>
      </c>
    </row>
    <row r="308" spans="1:1" x14ac:dyDescent="0.25">
      <c r="A308" t="s">
        <v>1014</v>
      </c>
    </row>
    <row r="309" spans="1:1" x14ac:dyDescent="0.25">
      <c r="A309" t="s">
        <v>1015</v>
      </c>
    </row>
    <row r="310" spans="1:1" x14ac:dyDescent="0.25">
      <c r="A310" t="s">
        <v>1016</v>
      </c>
    </row>
    <row r="311" spans="1:1" x14ac:dyDescent="0.25">
      <c r="A311" t="s">
        <v>1017</v>
      </c>
    </row>
    <row r="312" spans="1:1" x14ac:dyDescent="0.25">
      <c r="A312" t="s">
        <v>1018</v>
      </c>
    </row>
    <row r="313" spans="1:1" x14ac:dyDescent="0.25">
      <c r="A313" t="s">
        <v>1019</v>
      </c>
    </row>
    <row r="314" spans="1:1" x14ac:dyDescent="0.25">
      <c r="A314" t="s">
        <v>1020</v>
      </c>
    </row>
    <row r="315" spans="1:1" x14ac:dyDescent="0.25">
      <c r="A315" t="s">
        <v>1021</v>
      </c>
    </row>
    <row r="316" spans="1:1" x14ac:dyDescent="0.25">
      <c r="A316" t="s">
        <v>1022</v>
      </c>
    </row>
    <row r="317" spans="1:1" x14ac:dyDescent="0.25">
      <c r="A317" t="s">
        <v>1023</v>
      </c>
    </row>
    <row r="318" spans="1:1" x14ac:dyDescent="0.25">
      <c r="A318" t="s">
        <v>1024</v>
      </c>
    </row>
    <row r="319" spans="1:1" x14ac:dyDescent="0.25">
      <c r="A319" t="s">
        <v>1025</v>
      </c>
    </row>
    <row r="320" spans="1:1" x14ac:dyDescent="0.25">
      <c r="A320" t="s">
        <v>1026</v>
      </c>
    </row>
    <row r="321" spans="1:1" x14ac:dyDescent="0.25">
      <c r="A321" t="s">
        <v>1027</v>
      </c>
    </row>
    <row r="322" spans="1:1" x14ac:dyDescent="0.25">
      <c r="A322" t="s">
        <v>1028</v>
      </c>
    </row>
    <row r="323" spans="1:1" x14ac:dyDescent="0.25">
      <c r="A323" t="s">
        <v>1029</v>
      </c>
    </row>
    <row r="324" spans="1:1" x14ac:dyDescent="0.25">
      <c r="A324" t="s">
        <v>1030</v>
      </c>
    </row>
    <row r="325" spans="1:1" x14ac:dyDescent="0.25">
      <c r="A325" t="s">
        <v>1031</v>
      </c>
    </row>
    <row r="326" spans="1:1" x14ac:dyDescent="0.25">
      <c r="A326" t="s">
        <v>1032</v>
      </c>
    </row>
    <row r="327" spans="1:1" x14ac:dyDescent="0.25">
      <c r="A327" t="s">
        <v>1033</v>
      </c>
    </row>
    <row r="328" spans="1:1" x14ac:dyDescent="0.25">
      <c r="A328" t="s">
        <v>1034</v>
      </c>
    </row>
    <row r="329" spans="1:1" x14ac:dyDescent="0.25">
      <c r="A329" t="s">
        <v>1035</v>
      </c>
    </row>
    <row r="330" spans="1:1" x14ac:dyDescent="0.25">
      <c r="A330" t="s">
        <v>1036</v>
      </c>
    </row>
    <row r="331" spans="1:1" x14ac:dyDescent="0.25">
      <c r="A331" t="s">
        <v>1037</v>
      </c>
    </row>
    <row r="332" spans="1:1" x14ac:dyDescent="0.25">
      <c r="A332" t="s">
        <v>1038</v>
      </c>
    </row>
    <row r="333" spans="1:1" x14ac:dyDescent="0.25">
      <c r="A333" t="s">
        <v>1039</v>
      </c>
    </row>
    <row r="334" spans="1:1" x14ac:dyDescent="0.25">
      <c r="A334" t="s">
        <v>1040</v>
      </c>
    </row>
    <row r="335" spans="1:1" x14ac:dyDescent="0.25">
      <c r="A335" t="s">
        <v>1041</v>
      </c>
    </row>
    <row r="336" spans="1:1" x14ac:dyDescent="0.25">
      <c r="A336" t="s">
        <v>1042</v>
      </c>
    </row>
    <row r="337" spans="1:1" x14ac:dyDescent="0.25">
      <c r="A337" t="s">
        <v>1043</v>
      </c>
    </row>
    <row r="338" spans="1:1" x14ac:dyDescent="0.25">
      <c r="A338" t="s">
        <v>1044</v>
      </c>
    </row>
    <row r="339" spans="1:1" x14ac:dyDescent="0.25">
      <c r="A339" t="s">
        <v>1045</v>
      </c>
    </row>
    <row r="340" spans="1:1" x14ac:dyDescent="0.25">
      <c r="A340" t="s">
        <v>1046</v>
      </c>
    </row>
    <row r="341" spans="1:1" x14ac:dyDescent="0.25">
      <c r="A341" t="s">
        <v>1047</v>
      </c>
    </row>
    <row r="342" spans="1:1" x14ac:dyDescent="0.25">
      <c r="A342" t="s">
        <v>1048</v>
      </c>
    </row>
    <row r="343" spans="1:1" x14ac:dyDescent="0.25">
      <c r="A343" t="s">
        <v>1049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054D1-44F9-4664-A5DF-85AE7480662B}">
  <sheetPr codeName="Munka10"/>
  <dimension ref="A1:B19"/>
  <sheetViews>
    <sheetView workbookViewId="0">
      <selection activeCell="A19" sqref="A19"/>
    </sheetView>
  </sheetViews>
  <sheetFormatPr defaultRowHeight="15" x14ac:dyDescent="0.25"/>
  <cols>
    <col min="1" max="1" width="18" style="21" bestFit="1" customWidth="1"/>
    <col min="2" max="2" width="7.42578125" style="23" bestFit="1" customWidth="1"/>
  </cols>
  <sheetData>
    <row r="1" spans="1:2" x14ac:dyDescent="0.25">
      <c r="A1" s="20" t="s">
        <v>670</v>
      </c>
      <c r="B1" s="22" t="s">
        <v>1153</v>
      </c>
    </row>
    <row r="2" spans="1:2" x14ac:dyDescent="0.25">
      <c r="A2" s="20">
        <v>46085.604166666664</v>
      </c>
      <c r="B2" s="22">
        <v>1</v>
      </c>
    </row>
    <row r="3" spans="1:2" x14ac:dyDescent="0.25">
      <c r="A3" s="20">
        <v>46085.635416666664</v>
      </c>
      <c r="B3" s="22">
        <v>1</v>
      </c>
    </row>
    <row r="4" spans="1:2" x14ac:dyDescent="0.25">
      <c r="A4" s="20">
        <v>46087.375</v>
      </c>
      <c r="B4" s="22">
        <v>1</v>
      </c>
    </row>
    <row r="5" spans="1:2" x14ac:dyDescent="0.25">
      <c r="A5" s="20">
        <v>46087.40625</v>
      </c>
      <c r="B5" s="22">
        <v>1</v>
      </c>
    </row>
    <row r="6" spans="1:2" x14ac:dyDescent="0.25">
      <c r="A6" s="20">
        <v>46087.4375</v>
      </c>
      <c r="B6" s="22">
        <v>1</v>
      </c>
    </row>
    <row r="7" spans="1:2" x14ac:dyDescent="0.25">
      <c r="A7" s="20">
        <v>46087.489583333336</v>
      </c>
      <c r="B7" s="22">
        <v>1</v>
      </c>
    </row>
    <row r="8" spans="1:2" x14ac:dyDescent="0.25">
      <c r="A8" s="20">
        <v>46087.510416666664</v>
      </c>
      <c r="B8" s="22">
        <v>1</v>
      </c>
    </row>
    <row r="9" spans="1:2" x14ac:dyDescent="0.25">
      <c r="A9" s="20">
        <v>46091.604166666664</v>
      </c>
      <c r="B9" s="22">
        <v>1</v>
      </c>
    </row>
    <row r="10" spans="1:2" x14ac:dyDescent="0.25">
      <c r="A10" s="20">
        <v>46091.625</v>
      </c>
      <c r="B10" s="22">
        <v>1</v>
      </c>
    </row>
    <row r="11" spans="1:2" x14ac:dyDescent="0.25">
      <c r="A11" s="20">
        <v>46093.604166666664</v>
      </c>
      <c r="B11" s="22">
        <v>1</v>
      </c>
    </row>
    <row r="12" spans="1:2" x14ac:dyDescent="0.25">
      <c r="A12" s="20">
        <v>46093</v>
      </c>
      <c r="B12" s="22">
        <v>1</v>
      </c>
    </row>
    <row r="13" spans="1:2" x14ac:dyDescent="0.25">
      <c r="A13" s="20">
        <v>46093.635416666664</v>
      </c>
      <c r="B13" s="22">
        <v>1</v>
      </c>
    </row>
    <row r="14" spans="1:2" x14ac:dyDescent="0.25">
      <c r="A14" s="20">
        <v>46098.604166666664</v>
      </c>
      <c r="B14" s="22">
        <v>1</v>
      </c>
    </row>
    <row r="15" spans="1:2" x14ac:dyDescent="0.25">
      <c r="A15" s="20">
        <v>46097.604166666664</v>
      </c>
      <c r="B15" s="22">
        <v>1</v>
      </c>
    </row>
    <row r="16" spans="1:2" x14ac:dyDescent="0.25">
      <c r="A16" s="20">
        <v>46097.635416666664</v>
      </c>
      <c r="B16" s="22">
        <v>1</v>
      </c>
    </row>
    <row r="17" spans="1:2" x14ac:dyDescent="0.25">
      <c r="A17" s="20">
        <v>46099.604166666664</v>
      </c>
      <c r="B17" s="22">
        <v>1</v>
      </c>
    </row>
    <row r="18" spans="1:2" x14ac:dyDescent="0.25">
      <c r="A18" s="20">
        <v>46099.635416666664</v>
      </c>
      <c r="B18" s="22">
        <v>1</v>
      </c>
    </row>
    <row r="19" spans="1:2" x14ac:dyDescent="0.25">
      <c r="A19" s="20">
        <v>46098.625</v>
      </c>
      <c r="B19" s="22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619FB-E7A5-47FF-9E60-2AD6B2DEB9D3}">
  <sheetPr codeName="Munka18"/>
  <dimension ref="A1:C28"/>
  <sheetViews>
    <sheetView workbookViewId="0">
      <selection activeCell="H16" sqref="H16"/>
    </sheetView>
  </sheetViews>
  <sheetFormatPr defaultRowHeight="15" x14ac:dyDescent="0.25"/>
  <cols>
    <col min="1" max="1" width="18.42578125" bestFit="1" customWidth="1"/>
    <col min="2" max="2" width="21.140625" bestFit="1" customWidth="1"/>
    <col min="3" max="3" width="10.28515625" bestFit="1" customWidth="1"/>
  </cols>
  <sheetData>
    <row r="1" spans="1:3" x14ac:dyDescent="0.25">
      <c r="A1" s="26" t="s">
        <v>2799</v>
      </c>
      <c r="B1">
        <v>1</v>
      </c>
    </row>
    <row r="2" spans="1:3" x14ac:dyDescent="0.25">
      <c r="A2" s="26" t="s">
        <v>2800</v>
      </c>
      <c r="B2" s="18">
        <v>46099</v>
      </c>
    </row>
    <row r="3" spans="1:3" x14ac:dyDescent="0.25">
      <c r="A3" s="26" t="s">
        <v>2798</v>
      </c>
      <c r="B3">
        <v>102</v>
      </c>
    </row>
    <row r="5" spans="1:3" s="42" customFormat="1" x14ac:dyDescent="0.25">
      <c r="A5" s="29" t="s">
        <v>2799</v>
      </c>
      <c r="B5" s="29" t="s">
        <v>2801</v>
      </c>
      <c r="C5" s="29" t="s">
        <v>2798</v>
      </c>
    </row>
    <row r="6" spans="1:3" x14ac:dyDescent="0.25">
      <c r="A6" s="30">
        <v>1</v>
      </c>
      <c r="B6" s="30" t="s">
        <v>2896</v>
      </c>
      <c r="C6" s="30">
        <v>102</v>
      </c>
    </row>
    <row r="7" spans="1:3" x14ac:dyDescent="0.25">
      <c r="A7" s="28"/>
      <c r="B7" s="28"/>
      <c r="C7" s="28"/>
    </row>
    <row r="8" spans="1:3" s="42" customFormat="1" x14ac:dyDescent="0.25">
      <c r="A8" s="27" t="s">
        <v>2802</v>
      </c>
      <c r="B8" s="27" t="s">
        <v>2803</v>
      </c>
      <c r="C8" s="27" t="s">
        <v>2804</v>
      </c>
    </row>
    <row r="9" spans="1:3" x14ac:dyDescent="0.25">
      <c r="A9" s="28">
        <v>1</v>
      </c>
      <c r="B9" s="28" t="s">
        <v>1381</v>
      </c>
      <c r="C9" s="28"/>
    </row>
    <row r="10" spans="1:3" x14ac:dyDescent="0.25">
      <c r="A10" s="28">
        <v>2</v>
      </c>
      <c r="B10" s="28" t="s">
        <v>1459</v>
      </c>
      <c r="C10" s="28"/>
    </row>
    <row r="11" spans="1:3" x14ac:dyDescent="0.25">
      <c r="A11" s="28">
        <v>3</v>
      </c>
      <c r="B11" s="28" t="s">
        <v>1514</v>
      </c>
      <c r="C11" s="28"/>
    </row>
    <row r="12" spans="1:3" x14ac:dyDescent="0.25">
      <c r="A12" s="28">
        <v>4</v>
      </c>
      <c r="B12" s="28" t="s">
        <v>1711</v>
      </c>
      <c r="C12" s="28"/>
    </row>
    <row r="13" spans="1:3" x14ac:dyDescent="0.25">
      <c r="A13" s="28">
        <v>5</v>
      </c>
      <c r="B13" s="28" t="s">
        <v>1915</v>
      </c>
      <c r="C13" s="28"/>
    </row>
    <row r="14" spans="1:3" x14ac:dyDescent="0.25">
      <c r="A14" s="28">
        <v>6</v>
      </c>
      <c r="B14" s="28" t="s">
        <v>1923</v>
      </c>
      <c r="C14" s="28"/>
    </row>
    <row r="15" spans="1:3" x14ac:dyDescent="0.25">
      <c r="A15" s="28">
        <v>7</v>
      </c>
      <c r="B15" s="28" t="s">
        <v>1944</v>
      </c>
      <c r="C15" s="28"/>
    </row>
    <row r="16" spans="1:3" x14ac:dyDescent="0.25">
      <c r="A16" s="28"/>
      <c r="B16" s="28"/>
      <c r="C16" s="28"/>
    </row>
    <row r="17" spans="1:3" x14ac:dyDescent="0.25">
      <c r="A17" s="28"/>
      <c r="B17" s="28"/>
      <c r="C17" s="28"/>
    </row>
    <row r="18" spans="1:3" x14ac:dyDescent="0.25">
      <c r="A18" s="28"/>
      <c r="B18" s="28"/>
      <c r="C18" s="28"/>
    </row>
    <row r="19" spans="1:3" x14ac:dyDescent="0.25">
      <c r="A19" s="28"/>
      <c r="B19" s="28"/>
      <c r="C19" s="28"/>
    </row>
    <row r="20" spans="1:3" x14ac:dyDescent="0.25">
      <c r="A20" s="28"/>
      <c r="B20" s="28"/>
      <c r="C20" s="28"/>
    </row>
    <row r="21" spans="1:3" x14ac:dyDescent="0.25">
      <c r="A21" s="28"/>
      <c r="B21" s="28"/>
      <c r="C21" s="28"/>
    </row>
    <row r="22" spans="1:3" x14ac:dyDescent="0.25">
      <c r="A22" s="28"/>
      <c r="B22" s="28"/>
      <c r="C22" s="28"/>
    </row>
    <row r="23" spans="1:3" x14ac:dyDescent="0.25">
      <c r="A23" s="28"/>
      <c r="B23" s="28"/>
      <c r="C23" s="28"/>
    </row>
    <row r="24" spans="1:3" x14ac:dyDescent="0.25">
      <c r="A24" s="28"/>
      <c r="B24" s="28"/>
      <c r="C24" s="28"/>
    </row>
    <row r="25" spans="1:3" x14ac:dyDescent="0.25">
      <c r="A25" s="28"/>
      <c r="B25" s="28"/>
      <c r="C25" s="28"/>
    </row>
    <row r="26" spans="1:3" x14ac:dyDescent="0.25">
      <c r="A26" s="28"/>
      <c r="B26" s="28"/>
      <c r="C26" s="28"/>
    </row>
    <row r="27" spans="1:3" x14ac:dyDescent="0.25">
      <c r="A27" s="28"/>
      <c r="B27" s="28"/>
      <c r="C27" s="28"/>
    </row>
    <row r="28" spans="1:3" x14ac:dyDescent="0.25">
      <c r="A28" s="28"/>
      <c r="B28" s="28"/>
      <c r="C28" s="28"/>
    </row>
  </sheetData>
  <dataValidations count="2">
    <dataValidation type="list" allowBlank="1" showInputMessage="1" showErrorMessage="1" sqref="B1" xr:uid="{C9F9BDD5-9FFC-4010-91E5-214EE79C988D}">
      <formula1>"1,2,3,4,5,6,7,8,9"</formula1>
    </dataValidation>
    <dataValidation type="list" allowBlank="1" showInputMessage="1" showErrorMessage="1" sqref="B2" xr:uid="{A9C3FF09-C065-4CC3-93C5-B0A4ED8CA0DF}">
      <formula1>"2026. 03. 04,2026. 03. 06,2026. 03. 10,2026. 03. 12,2026. 03. 16,2026. 03. 17,2026. 03. 18"</formula1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143B8F-4755-467D-B89D-0D147D204F46}">
          <x14:formula1>
            <xm:f>TanteremLista!$A$2:$A$15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586F5-004E-40E7-993F-D35689B11C51}">
  <sheetPr codeName="Munka11"/>
  <dimension ref="A1:AI252"/>
  <sheetViews>
    <sheetView topLeftCell="A208" workbookViewId="0">
      <selection activeCell="D229" sqref="D229"/>
    </sheetView>
  </sheetViews>
  <sheetFormatPr defaultRowHeight="15" x14ac:dyDescent="0.25"/>
  <cols>
    <col min="1" max="1" width="12" bestFit="1" customWidth="1"/>
    <col min="2" max="2" width="25.42578125" bestFit="1" customWidth="1"/>
    <col min="3" max="3" width="17.5703125" bestFit="1" customWidth="1"/>
    <col min="4" max="4" width="15" bestFit="1" customWidth="1"/>
    <col min="5" max="5" width="17.5703125" bestFit="1" customWidth="1"/>
    <col min="6" max="6" width="21.42578125" bestFit="1" customWidth="1"/>
    <col min="7" max="7" width="17.5703125" bestFit="1" customWidth="1"/>
    <col min="8" max="8" width="22.140625" bestFit="1" customWidth="1"/>
    <col min="9" max="9" width="17.5703125" bestFit="1" customWidth="1"/>
    <col min="10" max="10" width="8.42578125" bestFit="1" customWidth="1"/>
    <col min="11" max="11" width="17.85546875" bestFit="1" customWidth="1"/>
    <col min="12" max="12" width="21.42578125" bestFit="1" customWidth="1"/>
    <col min="13" max="13" width="17.5703125" bestFit="1" customWidth="1"/>
    <col min="14" max="15" width="21.42578125" bestFit="1" customWidth="1"/>
    <col min="16" max="16" width="24.140625" bestFit="1" customWidth="1"/>
    <col min="17" max="17" width="21.42578125" bestFit="1" customWidth="1"/>
    <col min="18" max="18" width="21.85546875" bestFit="1" customWidth="1"/>
    <col min="19" max="19" width="24" bestFit="1" customWidth="1"/>
    <col min="20" max="20" width="35.42578125" bestFit="1" customWidth="1"/>
    <col min="21" max="21" width="18" bestFit="1" customWidth="1"/>
    <col min="22" max="22" width="12.140625" bestFit="1" customWidth="1"/>
    <col min="23" max="23" width="23.42578125" bestFit="1" customWidth="1"/>
    <col min="24" max="24" width="8.42578125" bestFit="1" customWidth="1"/>
    <col min="25" max="25" width="10.85546875" bestFit="1" customWidth="1"/>
    <col min="26" max="26" width="5.140625" hidden="1" customWidth="1"/>
    <col min="27" max="27" width="21.42578125" bestFit="1" customWidth="1"/>
    <col min="28" max="28" width="10.85546875" bestFit="1" customWidth="1"/>
    <col min="29" max="29" width="16.85546875" bestFit="1" customWidth="1"/>
    <col min="30" max="30" width="14.5703125" bestFit="1" customWidth="1"/>
    <col min="31" max="31" width="21.42578125" bestFit="1" customWidth="1"/>
    <col min="32" max="32" width="11.5703125" bestFit="1" customWidth="1"/>
    <col min="33" max="33" width="11.140625" bestFit="1" customWidth="1"/>
    <col min="34" max="34" width="14.42578125" bestFit="1" customWidth="1"/>
    <col min="35" max="35" width="5.42578125" bestFit="1" customWidth="1"/>
    <col min="36" max="36" width="19.42578125" bestFit="1" customWidth="1"/>
    <col min="37" max="37" width="21.42578125" bestFit="1" customWidth="1"/>
    <col min="38" max="38" width="11.140625" bestFit="1" customWidth="1"/>
    <col min="39" max="39" width="17.5703125" bestFit="1" customWidth="1"/>
  </cols>
  <sheetData>
    <row r="1" spans="1:35" s="26" customFormat="1" x14ac:dyDescent="0.25">
      <c r="A1" s="26" t="s">
        <v>673</v>
      </c>
      <c r="B1" s="26" t="s">
        <v>674</v>
      </c>
      <c r="C1" s="26" t="s">
        <v>1127</v>
      </c>
      <c r="D1" s="26" t="s">
        <v>1136</v>
      </c>
      <c r="E1" s="26" t="s">
        <v>1146</v>
      </c>
      <c r="F1" s="26" t="s">
        <v>1129</v>
      </c>
      <c r="G1" s="26" t="s">
        <v>1140</v>
      </c>
      <c r="H1" s="26" t="s">
        <v>1132</v>
      </c>
      <c r="I1" s="26" t="s">
        <v>1144</v>
      </c>
      <c r="J1" s="26" t="s">
        <v>1138</v>
      </c>
      <c r="K1" s="26" t="s">
        <v>2362</v>
      </c>
      <c r="L1" s="26" t="s">
        <v>1135</v>
      </c>
      <c r="M1" s="26" t="s">
        <v>1141</v>
      </c>
      <c r="N1" s="26" t="s">
        <v>1128</v>
      </c>
      <c r="O1" s="26" t="s">
        <v>1137</v>
      </c>
      <c r="P1" s="26" t="s">
        <v>1125</v>
      </c>
      <c r="Q1" s="26" t="s">
        <v>1126</v>
      </c>
      <c r="R1" s="26" t="s">
        <v>2363</v>
      </c>
      <c r="S1" s="26" t="s">
        <v>1142</v>
      </c>
      <c r="T1" s="26" t="s">
        <v>1151</v>
      </c>
      <c r="U1" s="26" t="s">
        <v>2364</v>
      </c>
      <c r="V1" s="26" t="s">
        <v>1148</v>
      </c>
      <c r="W1" s="26" t="s">
        <v>1150</v>
      </c>
      <c r="X1" s="26" t="s">
        <v>1134</v>
      </c>
      <c r="Y1" s="26" t="s">
        <v>2365</v>
      </c>
      <c r="Z1" s="26" t="s">
        <v>1152</v>
      </c>
      <c r="AA1" s="26" t="s">
        <v>1149</v>
      </c>
      <c r="AB1" s="26" t="s">
        <v>1143</v>
      </c>
      <c r="AC1" s="26" t="s">
        <v>1145</v>
      </c>
      <c r="AD1" s="26" t="s">
        <v>1147</v>
      </c>
      <c r="AE1" s="26" t="s">
        <v>1133</v>
      </c>
      <c r="AF1" s="26" t="s">
        <v>1130</v>
      </c>
      <c r="AG1" s="26" t="s">
        <v>1139</v>
      </c>
      <c r="AH1" s="26" t="s">
        <v>1131</v>
      </c>
      <c r="AI1" s="26" t="s">
        <v>2366</v>
      </c>
    </row>
    <row r="2" spans="1:35" x14ac:dyDescent="0.25">
      <c r="A2">
        <v>73397704076</v>
      </c>
      <c r="B2" t="s">
        <v>1154</v>
      </c>
      <c r="C2">
        <v>24.54</v>
      </c>
      <c r="Z2">
        <v>0</v>
      </c>
    </row>
    <row r="3" spans="1:35" x14ac:dyDescent="0.25">
      <c r="A3">
        <v>73458204705</v>
      </c>
      <c r="B3" t="s">
        <v>1158</v>
      </c>
      <c r="C3">
        <v>25</v>
      </c>
      <c r="Z3">
        <v>0</v>
      </c>
    </row>
    <row r="4" spans="1:35" x14ac:dyDescent="0.25">
      <c r="A4">
        <v>73368662837</v>
      </c>
      <c r="B4" t="s">
        <v>1162</v>
      </c>
      <c r="C4">
        <v>24.545453999999999</v>
      </c>
      <c r="Z4">
        <v>0</v>
      </c>
    </row>
    <row r="5" spans="1:35" x14ac:dyDescent="0.25">
      <c r="A5">
        <v>73408066413</v>
      </c>
      <c r="B5" t="s">
        <v>1168</v>
      </c>
      <c r="C5">
        <v>25</v>
      </c>
      <c r="Z5">
        <v>0</v>
      </c>
    </row>
    <row r="6" spans="1:35" x14ac:dyDescent="0.25">
      <c r="A6">
        <v>73403951239</v>
      </c>
      <c r="B6" t="s">
        <v>1174</v>
      </c>
      <c r="C6">
        <v>22</v>
      </c>
      <c r="Z6">
        <v>0</v>
      </c>
    </row>
    <row r="7" spans="1:35" x14ac:dyDescent="0.25">
      <c r="A7">
        <v>73450208118</v>
      </c>
      <c r="B7" t="s">
        <v>1179</v>
      </c>
      <c r="C7">
        <v>24.090900000000001</v>
      </c>
      <c r="Z7">
        <v>0</v>
      </c>
    </row>
    <row r="8" spans="1:35" x14ac:dyDescent="0.25">
      <c r="A8">
        <v>73396287451</v>
      </c>
      <c r="B8" t="s">
        <v>1183</v>
      </c>
      <c r="C8">
        <v>23.63</v>
      </c>
      <c r="Z8">
        <v>0</v>
      </c>
    </row>
    <row r="9" spans="1:35" x14ac:dyDescent="0.25">
      <c r="A9">
        <v>73388245475</v>
      </c>
      <c r="B9" t="s">
        <v>1187</v>
      </c>
      <c r="C9">
        <v>25</v>
      </c>
      <c r="Z9">
        <v>0</v>
      </c>
    </row>
    <row r="10" spans="1:35" x14ac:dyDescent="0.25">
      <c r="A10">
        <v>73423065466</v>
      </c>
      <c r="B10" t="s">
        <v>1192</v>
      </c>
      <c r="C10">
        <v>25</v>
      </c>
      <c r="Z10">
        <v>0</v>
      </c>
    </row>
    <row r="11" spans="1:35" x14ac:dyDescent="0.25">
      <c r="A11">
        <v>73444954982</v>
      </c>
      <c r="B11" t="s">
        <v>1197</v>
      </c>
      <c r="C11">
        <v>25</v>
      </c>
      <c r="Z11">
        <v>0</v>
      </c>
    </row>
    <row r="12" spans="1:35" x14ac:dyDescent="0.25">
      <c r="A12">
        <v>73447278513</v>
      </c>
      <c r="B12" t="s">
        <v>1201</v>
      </c>
      <c r="C12">
        <v>25</v>
      </c>
      <c r="Z12">
        <v>0</v>
      </c>
    </row>
    <row r="13" spans="1:35" x14ac:dyDescent="0.25">
      <c r="A13">
        <v>73439061486</v>
      </c>
      <c r="B13" t="s">
        <v>1205</v>
      </c>
      <c r="C13">
        <v>25</v>
      </c>
      <c r="Z13">
        <v>0</v>
      </c>
    </row>
    <row r="14" spans="1:35" x14ac:dyDescent="0.25">
      <c r="A14">
        <v>73414539651</v>
      </c>
      <c r="B14" t="s">
        <v>1210</v>
      </c>
      <c r="C14">
        <v>25</v>
      </c>
      <c r="Z14">
        <v>0</v>
      </c>
    </row>
    <row r="15" spans="1:35" x14ac:dyDescent="0.25">
      <c r="A15">
        <v>73426435560</v>
      </c>
      <c r="B15" t="s">
        <v>1215</v>
      </c>
      <c r="C15">
        <v>24.545453999999999</v>
      </c>
      <c r="Z15">
        <v>0</v>
      </c>
    </row>
    <row r="16" spans="1:35" x14ac:dyDescent="0.25">
      <c r="A16">
        <v>73441792245</v>
      </c>
      <c r="B16" t="s">
        <v>1220</v>
      </c>
      <c r="C16">
        <v>22.27</v>
      </c>
      <c r="Z16">
        <v>0</v>
      </c>
    </row>
    <row r="17" spans="1:26" x14ac:dyDescent="0.25">
      <c r="A17">
        <v>73403984187</v>
      </c>
      <c r="B17" t="s">
        <v>1224</v>
      </c>
      <c r="C17">
        <v>24</v>
      </c>
      <c r="Z17">
        <v>0</v>
      </c>
    </row>
    <row r="18" spans="1:26" x14ac:dyDescent="0.25">
      <c r="A18">
        <v>73382507642</v>
      </c>
      <c r="B18" t="s">
        <v>1230</v>
      </c>
      <c r="C18">
        <v>25</v>
      </c>
      <c r="Z18">
        <v>0</v>
      </c>
    </row>
    <row r="19" spans="1:26" x14ac:dyDescent="0.25">
      <c r="A19">
        <v>73356576262</v>
      </c>
      <c r="B19" t="s">
        <v>1236</v>
      </c>
      <c r="C19">
        <v>25</v>
      </c>
      <c r="Z19">
        <v>0</v>
      </c>
    </row>
    <row r="20" spans="1:26" x14ac:dyDescent="0.25">
      <c r="A20">
        <v>73444449680</v>
      </c>
      <c r="B20" t="s">
        <v>1242</v>
      </c>
      <c r="C20">
        <v>25</v>
      </c>
      <c r="Z20">
        <v>0</v>
      </c>
    </row>
    <row r="21" spans="1:26" x14ac:dyDescent="0.25">
      <c r="A21">
        <v>73440347726</v>
      </c>
      <c r="B21" t="s">
        <v>1248</v>
      </c>
      <c r="C21">
        <v>23.636362999999999</v>
      </c>
      <c r="Z21">
        <v>0</v>
      </c>
    </row>
    <row r="22" spans="1:26" x14ac:dyDescent="0.25">
      <c r="A22">
        <v>73412770018</v>
      </c>
      <c r="B22" t="s">
        <v>1253</v>
      </c>
      <c r="C22">
        <v>24.54</v>
      </c>
      <c r="Z22">
        <v>0</v>
      </c>
    </row>
    <row r="23" spans="1:26" x14ac:dyDescent="0.25">
      <c r="A23">
        <v>73415572955</v>
      </c>
      <c r="B23" t="s">
        <v>1257</v>
      </c>
      <c r="C23">
        <v>24.54</v>
      </c>
      <c r="Z23">
        <v>0</v>
      </c>
    </row>
    <row r="24" spans="1:26" x14ac:dyDescent="0.25">
      <c r="A24">
        <v>73367126561</v>
      </c>
      <c r="B24" t="s">
        <v>1262</v>
      </c>
      <c r="C24">
        <v>23.63</v>
      </c>
      <c r="Z24">
        <v>0</v>
      </c>
    </row>
    <row r="25" spans="1:26" x14ac:dyDescent="0.25">
      <c r="A25">
        <v>73355303340</v>
      </c>
      <c r="B25" t="s">
        <v>1267</v>
      </c>
      <c r="C25">
        <v>25</v>
      </c>
      <c r="Z25">
        <v>0</v>
      </c>
    </row>
    <row r="26" spans="1:26" x14ac:dyDescent="0.25">
      <c r="A26">
        <v>73433430250</v>
      </c>
      <c r="B26" t="s">
        <v>1271</v>
      </c>
      <c r="C26">
        <v>25</v>
      </c>
      <c r="Z26">
        <v>0</v>
      </c>
    </row>
    <row r="27" spans="1:26" x14ac:dyDescent="0.25">
      <c r="A27">
        <v>73397901825</v>
      </c>
      <c r="B27" t="s">
        <v>1276</v>
      </c>
      <c r="C27">
        <v>23.181818</v>
      </c>
      <c r="Z27">
        <v>0</v>
      </c>
    </row>
    <row r="28" spans="1:26" x14ac:dyDescent="0.25">
      <c r="A28">
        <v>73454482508</v>
      </c>
      <c r="B28" t="s">
        <v>1282</v>
      </c>
      <c r="C28">
        <v>25</v>
      </c>
      <c r="Z28">
        <v>0</v>
      </c>
    </row>
    <row r="29" spans="1:26" x14ac:dyDescent="0.25">
      <c r="A29">
        <v>73372898612</v>
      </c>
      <c r="B29" t="s">
        <v>1288</v>
      </c>
      <c r="C29">
        <v>25</v>
      </c>
      <c r="Z29">
        <v>0</v>
      </c>
    </row>
    <row r="30" spans="1:26" x14ac:dyDescent="0.25">
      <c r="A30">
        <v>73422586333</v>
      </c>
      <c r="B30" t="s">
        <v>1293</v>
      </c>
      <c r="C30">
        <v>25</v>
      </c>
      <c r="Z30">
        <v>0</v>
      </c>
    </row>
    <row r="31" spans="1:26" x14ac:dyDescent="0.25">
      <c r="A31">
        <v>73456722309</v>
      </c>
      <c r="B31" t="s">
        <v>1297</v>
      </c>
      <c r="C31">
        <v>25</v>
      </c>
      <c r="Z31">
        <v>0</v>
      </c>
    </row>
    <row r="32" spans="1:26" x14ac:dyDescent="0.25">
      <c r="A32">
        <v>73379507776</v>
      </c>
      <c r="B32" t="s">
        <v>1302</v>
      </c>
      <c r="C32">
        <v>25</v>
      </c>
      <c r="Z32">
        <v>0</v>
      </c>
    </row>
    <row r="33" spans="1:26" x14ac:dyDescent="0.25">
      <c r="A33">
        <v>73379908677</v>
      </c>
      <c r="B33" t="s">
        <v>1307</v>
      </c>
      <c r="C33">
        <v>25</v>
      </c>
      <c r="Z33">
        <v>0</v>
      </c>
    </row>
    <row r="34" spans="1:26" x14ac:dyDescent="0.25">
      <c r="A34">
        <v>73356971698</v>
      </c>
      <c r="B34" t="s">
        <v>1312</v>
      </c>
      <c r="C34">
        <v>25</v>
      </c>
      <c r="Z34">
        <v>0</v>
      </c>
    </row>
    <row r="35" spans="1:26" x14ac:dyDescent="0.25">
      <c r="A35">
        <v>73540808263</v>
      </c>
      <c r="B35" t="s">
        <v>1318</v>
      </c>
      <c r="C35">
        <v>25</v>
      </c>
      <c r="Z35">
        <v>0</v>
      </c>
    </row>
    <row r="36" spans="1:26" x14ac:dyDescent="0.25">
      <c r="A36">
        <v>73382220399</v>
      </c>
      <c r="B36" t="s">
        <v>1325</v>
      </c>
      <c r="C36">
        <v>25</v>
      </c>
      <c r="Z36">
        <v>0</v>
      </c>
    </row>
    <row r="37" spans="1:26" x14ac:dyDescent="0.25">
      <c r="A37">
        <v>73459958235</v>
      </c>
      <c r="B37" t="s">
        <v>1330</v>
      </c>
      <c r="C37">
        <v>25</v>
      </c>
      <c r="Z37">
        <v>0</v>
      </c>
    </row>
    <row r="38" spans="1:26" x14ac:dyDescent="0.25">
      <c r="A38">
        <v>73407943496</v>
      </c>
      <c r="B38" t="s">
        <v>1336</v>
      </c>
      <c r="C38">
        <v>24.090909</v>
      </c>
      <c r="Z38">
        <v>0</v>
      </c>
    </row>
    <row r="39" spans="1:26" x14ac:dyDescent="0.25">
      <c r="A39">
        <v>73402609673</v>
      </c>
      <c r="B39" t="s">
        <v>1341</v>
      </c>
      <c r="C39">
        <v>25</v>
      </c>
      <c r="Z39">
        <v>0</v>
      </c>
    </row>
    <row r="40" spans="1:26" x14ac:dyDescent="0.25">
      <c r="A40">
        <v>73462455579</v>
      </c>
      <c r="B40" t="s">
        <v>1346</v>
      </c>
      <c r="C40">
        <v>22.727271999999999</v>
      </c>
      <c r="Z40">
        <v>0</v>
      </c>
    </row>
    <row r="41" spans="1:26" x14ac:dyDescent="0.25">
      <c r="A41">
        <v>73409512218</v>
      </c>
      <c r="B41" t="s">
        <v>1352</v>
      </c>
      <c r="C41">
        <v>23.181818</v>
      </c>
      <c r="Z41">
        <v>0</v>
      </c>
    </row>
    <row r="42" spans="1:26" x14ac:dyDescent="0.25">
      <c r="A42">
        <v>73441886691</v>
      </c>
      <c r="B42" t="s">
        <v>1357</v>
      </c>
      <c r="C42">
        <v>25</v>
      </c>
      <c r="Z42">
        <v>0</v>
      </c>
    </row>
    <row r="43" spans="1:26" x14ac:dyDescent="0.25">
      <c r="A43">
        <v>73401049528</v>
      </c>
      <c r="B43" t="s">
        <v>1362</v>
      </c>
      <c r="C43">
        <v>25</v>
      </c>
      <c r="Z43">
        <v>0</v>
      </c>
    </row>
    <row r="44" spans="1:26" x14ac:dyDescent="0.25">
      <c r="A44">
        <v>73346363733</v>
      </c>
      <c r="B44" t="s">
        <v>1366</v>
      </c>
      <c r="C44">
        <v>25</v>
      </c>
      <c r="Z44">
        <v>0</v>
      </c>
    </row>
    <row r="45" spans="1:26" x14ac:dyDescent="0.25">
      <c r="A45">
        <v>73398409929</v>
      </c>
      <c r="B45" t="s">
        <v>1371</v>
      </c>
      <c r="C45">
        <v>25</v>
      </c>
      <c r="Z45">
        <v>0</v>
      </c>
    </row>
    <row r="46" spans="1:26" x14ac:dyDescent="0.25">
      <c r="A46">
        <v>73393879029</v>
      </c>
      <c r="B46" t="s">
        <v>1377</v>
      </c>
      <c r="C46">
        <v>24.090909</v>
      </c>
      <c r="Z46">
        <v>0</v>
      </c>
    </row>
    <row r="47" spans="1:26" x14ac:dyDescent="0.25">
      <c r="A47">
        <v>73390908771</v>
      </c>
      <c r="B47" t="s">
        <v>1381</v>
      </c>
      <c r="C47">
        <v>25</v>
      </c>
      <c r="Z47">
        <v>0</v>
      </c>
    </row>
    <row r="48" spans="1:26" x14ac:dyDescent="0.25">
      <c r="A48">
        <v>73440702539</v>
      </c>
      <c r="B48" t="s">
        <v>1385</v>
      </c>
      <c r="C48">
        <v>25</v>
      </c>
      <c r="Z48">
        <v>0</v>
      </c>
    </row>
    <row r="49" spans="1:26" x14ac:dyDescent="0.25">
      <c r="A49">
        <v>73423708584</v>
      </c>
      <c r="B49" t="s">
        <v>1391</v>
      </c>
      <c r="C49">
        <v>24.54</v>
      </c>
      <c r="Z49">
        <v>0</v>
      </c>
    </row>
    <row r="50" spans="1:26" x14ac:dyDescent="0.25">
      <c r="A50">
        <v>73459569658</v>
      </c>
      <c r="B50" t="s">
        <v>1396</v>
      </c>
      <c r="C50">
        <v>24.545453999999999</v>
      </c>
      <c r="Z50">
        <v>0</v>
      </c>
    </row>
    <row r="51" spans="1:26" x14ac:dyDescent="0.25">
      <c r="A51">
        <v>73468587557</v>
      </c>
      <c r="B51" t="s">
        <v>1402</v>
      </c>
      <c r="C51">
        <v>25</v>
      </c>
      <c r="Z51">
        <v>0</v>
      </c>
    </row>
    <row r="52" spans="1:26" x14ac:dyDescent="0.25">
      <c r="A52">
        <v>73469475134</v>
      </c>
      <c r="B52" t="s">
        <v>1408</v>
      </c>
      <c r="C52">
        <v>25</v>
      </c>
      <c r="Z52">
        <v>0</v>
      </c>
    </row>
    <row r="53" spans="1:26" x14ac:dyDescent="0.25">
      <c r="A53">
        <v>73399980971</v>
      </c>
      <c r="B53" t="s">
        <v>1412</v>
      </c>
      <c r="C53">
        <v>25</v>
      </c>
      <c r="Z53">
        <v>0</v>
      </c>
    </row>
    <row r="54" spans="1:26" x14ac:dyDescent="0.25">
      <c r="A54">
        <v>73447213994</v>
      </c>
      <c r="B54" t="s">
        <v>1417</v>
      </c>
      <c r="C54">
        <v>25</v>
      </c>
      <c r="Z54">
        <v>0</v>
      </c>
    </row>
    <row r="55" spans="1:26" x14ac:dyDescent="0.25">
      <c r="A55">
        <v>73372004612</v>
      </c>
      <c r="B55" t="s">
        <v>1422</v>
      </c>
      <c r="C55">
        <v>25</v>
      </c>
      <c r="Z55">
        <v>0</v>
      </c>
    </row>
    <row r="56" spans="1:26" x14ac:dyDescent="0.25">
      <c r="A56">
        <v>73354025937</v>
      </c>
      <c r="B56" t="s">
        <v>1427</v>
      </c>
      <c r="C56">
        <v>25</v>
      </c>
      <c r="Z56">
        <v>0</v>
      </c>
    </row>
    <row r="57" spans="1:26" x14ac:dyDescent="0.25">
      <c r="A57">
        <v>73412529905</v>
      </c>
      <c r="B57" t="s">
        <v>1431</v>
      </c>
      <c r="C57">
        <v>25</v>
      </c>
      <c r="Z57">
        <v>0</v>
      </c>
    </row>
    <row r="58" spans="1:26" x14ac:dyDescent="0.25">
      <c r="A58">
        <v>73368509075</v>
      </c>
      <c r="B58" t="s">
        <v>1435</v>
      </c>
      <c r="C58">
        <v>25</v>
      </c>
      <c r="Z58">
        <v>0</v>
      </c>
    </row>
    <row r="59" spans="1:26" x14ac:dyDescent="0.25">
      <c r="A59">
        <v>73368535781</v>
      </c>
      <c r="B59" t="s">
        <v>1439</v>
      </c>
      <c r="C59">
        <v>25</v>
      </c>
      <c r="Z59">
        <v>0</v>
      </c>
    </row>
    <row r="60" spans="1:26" x14ac:dyDescent="0.25">
      <c r="A60">
        <v>73385741569</v>
      </c>
      <c r="B60" t="s">
        <v>1440</v>
      </c>
      <c r="C60">
        <v>24.54</v>
      </c>
      <c r="Z60">
        <v>0</v>
      </c>
    </row>
    <row r="61" spans="1:26" x14ac:dyDescent="0.25">
      <c r="A61">
        <v>73403949802</v>
      </c>
      <c r="B61" t="s">
        <v>1444</v>
      </c>
      <c r="C61">
        <v>23.5</v>
      </c>
      <c r="Z61">
        <v>0</v>
      </c>
    </row>
    <row r="62" spans="1:26" x14ac:dyDescent="0.25">
      <c r="A62">
        <v>73461421048</v>
      </c>
      <c r="B62" t="s">
        <v>1450</v>
      </c>
      <c r="C62">
        <v>25</v>
      </c>
      <c r="Z62">
        <v>0</v>
      </c>
    </row>
    <row r="63" spans="1:26" x14ac:dyDescent="0.25">
      <c r="A63">
        <v>73464787700</v>
      </c>
      <c r="B63" t="s">
        <v>1453</v>
      </c>
      <c r="C63">
        <v>23</v>
      </c>
      <c r="Z63">
        <v>0</v>
      </c>
    </row>
    <row r="64" spans="1:26" x14ac:dyDescent="0.25">
      <c r="A64">
        <v>73447183966</v>
      </c>
      <c r="B64" t="s">
        <v>1459</v>
      </c>
      <c r="C64">
        <v>25</v>
      </c>
      <c r="Z64">
        <v>0</v>
      </c>
    </row>
    <row r="65" spans="1:26" x14ac:dyDescent="0.25">
      <c r="A65">
        <v>73391114976</v>
      </c>
      <c r="B65" t="s">
        <v>795</v>
      </c>
      <c r="C65">
        <v>24.545453999999999</v>
      </c>
      <c r="Z65">
        <v>0</v>
      </c>
    </row>
    <row r="66" spans="1:26" x14ac:dyDescent="0.25">
      <c r="A66">
        <v>73433360067</v>
      </c>
      <c r="B66" t="s">
        <v>1468</v>
      </c>
      <c r="C66">
        <v>25</v>
      </c>
      <c r="Z66">
        <v>0</v>
      </c>
    </row>
    <row r="67" spans="1:26" x14ac:dyDescent="0.25">
      <c r="A67">
        <v>73373569996</v>
      </c>
      <c r="B67" t="s">
        <v>1473</v>
      </c>
      <c r="C67">
        <v>25</v>
      </c>
      <c r="Z67">
        <v>0</v>
      </c>
    </row>
    <row r="68" spans="1:26" x14ac:dyDescent="0.25">
      <c r="A68">
        <v>73424035434</v>
      </c>
      <c r="B68" t="s">
        <v>1478</v>
      </c>
      <c r="C68">
        <v>25</v>
      </c>
      <c r="Z68">
        <v>0</v>
      </c>
    </row>
    <row r="69" spans="1:26" x14ac:dyDescent="0.25">
      <c r="A69">
        <v>73447694831</v>
      </c>
      <c r="B69" t="s">
        <v>1483</v>
      </c>
      <c r="C69">
        <v>24</v>
      </c>
      <c r="Z69">
        <v>0</v>
      </c>
    </row>
    <row r="70" spans="1:26" x14ac:dyDescent="0.25">
      <c r="A70">
        <v>73443399163</v>
      </c>
      <c r="B70" t="s">
        <v>1488</v>
      </c>
      <c r="C70">
        <v>25</v>
      </c>
      <c r="Z70">
        <v>0</v>
      </c>
    </row>
    <row r="71" spans="1:26" x14ac:dyDescent="0.25">
      <c r="A71">
        <v>73376316180</v>
      </c>
      <c r="B71" t="s">
        <v>1493</v>
      </c>
      <c r="C71">
        <v>25</v>
      </c>
      <c r="Z71">
        <v>0</v>
      </c>
    </row>
    <row r="72" spans="1:26" x14ac:dyDescent="0.25">
      <c r="A72">
        <v>73419768586</v>
      </c>
      <c r="B72" t="s">
        <v>1497</v>
      </c>
      <c r="C72">
        <v>25</v>
      </c>
      <c r="Z72">
        <v>0</v>
      </c>
    </row>
    <row r="73" spans="1:26" x14ac:dyDescent="0.25">
      <c r="A73">
        <v>73389202329</v>
      </c>
      <c r="B73" t="s">
        <v>1501</v>
      </c>
      <c r="C73">
        <v>25</v>
      </c>
      <c r="Z73">
        <v>0</v>
      </c>
    </row>
    <row r="74" spans="1:26" x14ac:dyDescent="0.25">
      <c r="A74">
        <v>73461196991</v>
      </c>
      <c r="B74" t="s">
        <v>1504</v>
      </c>
      <c r="C74">
        <v>25</v>
      </c>
      <c r="Z74">
        <v>0</v>
      </c>
    </row>
    <row r="75" spans="1:26" x14ac:dyDescent="0.25">
      <c r="A75">
        <v>73388477952</v>
      </c>
      <c r="B75" t="s">
        <v>1509</v>
      </c>
      <c r="C75">
        <v>24.545453999999999</v>
      </c>
      <c r="Z75">
        <v>0</v>
      </c>
    </row>
    <row r="76" spans="1:26" x14ac:dyDescent="0.25">
      <c r="A76">
        <v>73404935220</v>
      </c>
      <c r="B76" t="s">
        <v>1514</v>
      </c>
      <c r="C76">
        <v>22.2727</v>
      </c>
      <c r="Z76">
        <v>0</v>
      </c>
    </row>
    <row r="77" spans="1:26" x14ac:dyDescent="0.25">
      <c r="A77">
        <v>73440326691</v>
      </c>
      <c r="B77" t="s">
        <v>1519</v>
      </c>
      <c r="C77">
        <v>22.727271999999999</v>
      </c>
      <c r="Z77">
        <v>0</v>
      </c>
    </row>
    <row r="78" spans="1:26" x14ac:dyDescent="0.25">
      <c r="A78">
        <v>73467594637</v>
      </c>
      <c r="B78" t="s">
        <v>1523</v>
      </c>
      <c r="C78">
        <v>25</v>
      </c>
      <c r="Z78">
        <v>0</v>
      </c>
    </row>
    <row r="79" spans="1:26" x14ac:dyDescent="0.25">
      <c r="A79">
        <v>73519460510</v>
      </c>
      <c r="B79" t="s">
        <v>1527</v>
      </c>
      <c r="C79">
        <v>24.5</v>
      </c>
      <c r="Z79">
        <v>0</v>
      </c>
    </row>
    <row r="80" spans="1:26" x14ac:dyDescent="0.25">
      <c r="A80">
        <v>73448383504</v>
      </c>
      <c r="B80" t="s">
        <v>1532</v>
      </c>
      <c r="C80">
        <v>25</v>
      </c>
      <c r="Z80">
        <v>0</v>
      </c>
    </row>
    <row r="81" spans="1:26" x14ac:dyDescent="0.25">
      <c r="A81">
        <v>73409789617</v>
      </c>
      <c r="B81" t="s">
        <v>1536</v>
      </c>
      <c r="C81">
        <v>25</v>
      </c>
      <c r="Z81">
        <v>0</v>
      </c>
    </row>
    <row r="82" spans="1:26" x14ac:dyDescent="0.25">
      <c r="A82">
        <v>73473220258</v>
      </c>
      <c r="B82" t="s">
        <v>1540</v>
      </c>
      <c r="C82">
        <v>24.54</v>
      </c>
      <c r="Z82">
        <v>0</v>
      </c>
    </row>
    <row r="83" spans="1:26" x14ac:dyDescent="0.25">
      <c r="A83">
        <v>73366921134</v>
      </c>
      <c r="B83" t="s">
        <v>1544</v>
      </c>
      <c r="C83">
        <v>24.545400000000001</v>
      </c>
      <c r="Z83">
        <v>0</v>
      </c>
    </row>
    <row r="84" spans="1:26" x14ac:dyDescent="0.25">
      <c r="A84">
        <v>73366957487</v>
      </c>
      <c r="B84" t="s">
        <v>1548</v>
      </c>
      <c r="C84">
        <v>25</v>
      </c>
      <c r="Z84">
        <v>0</v>
      </c>
    </row>
    <row r="85" spans="1:26" x14ac:dyDescent="0.25">
      <c r="A85">
        <v>73382858450</v>
      </c>
      <c r="B85" t="s">
        <v>1550</v>
      </c>
      <c r="C85">
        <v>25</v>
      </c>
      <c r="Z85">
        <v>0</v>
      </c>
    </row>
    <row r="86" spans="1:26" x14ac:dyDescent="0.25">
      <c r="A86">
        <v>73466292678</v>
      </c>
      <c r="B86" t="s">
        <v>1554</v>
      </c>
      <c r="C86">
        <v>24.090900000000001</v>
      </c>
      <c r="Z86">
        <v>0</v>
      </c>
    </row>
    <row r="87" spans="1:26" x14ac:dyDescent="0.25">
      <c r="A87">
        <v>73400971532</v>
      </c>
      <c r="B87" t="s">
        <v>1560</v>
      </c>
      <c r="C87">
        <v>24.545453999999999</v>
      </c>
      <c r="Z87">
        <v>0</v>
      </c>
    </row>
    <row r="88" spans="1:26" x14ac:dyDescent="0.25">
      <c r="A88">
        <v>73392983265</v>
      </c>
      <c r="B88" t="s">
        <v>1564</v>
      </c>
      <c r="C88">
        <v>25</v>
      </c>
      <c r="Z88">
        <v>0</v>
      </c>
    </row>
    <row r="89" spans="1:26" x14ac:dyDescent="0.25">
      <c r="A89">
        <v>73451589251</v>
      </c>
      <c r="B89" t="s">
        <v>1569</v>
      </c>
      <c r="C89">
        <v>25</v>
      </c>
      <c r="Z89">
        <v>0</v>
      </c>
    </row>
    <row r="90" spans="1:26" x14ac:dyDescent="0.25">
      <c r="A90">
        <v>73398637764</v>
      </c>
      <c r="B90" t="s">
        <v>1574</v>
      </c>
      <c r="C90">
        <v>25</v>
      </c>
      <c r="Z90">
        <v>0</v>
      </c>
    </row>
    <row r="91" spans="1:26" x14ac:dyDescent="0.25">
      <c r="A91">
        <v>73435697572</v>
      </c>
      <c r="B91" t="s">
        <v>1579</v>
      </c>
      <c r="C91">
        <v>25</v>
      </c>
      <c r="Z91">
        <v>0</v>
      </c>
    </row>
    <row r="92" spans="1:26" x14ac:dyDescent="0.25">
      <c r="A92">
        <v>73446328414</v>
      </c>
      <c r="B92" t="s">
        <v>1585</v>
      </c>
      <c r="C92">
        <v>24</v>
      </c>
      <c r="Z92">
        <v>0</v>
      </c>
    </row>
    <row r="93" spans="1:26" x14ac:dyDescent="0.25">
      <c r="A93">
        <v>73434537458</v>
      </c>
      <c r="B93" t="s">
        <v>1590</v>
      </c>
      <c r="C93">
        <v>25</v>
      </c>
      <c r="Z93">
        <v>0</v>
      </c>
    </row>
    <row r="94" spans="1:26" x14ac:dyDescent="0.25">
      <c r="A94">
        <v>73397511964</v>
      </c>
      <c r="B94" t="s">
        <v>2819</v>
      </c>
      <c r="C94">
        <v>24.5</v>
      </c>
      <c r="Z94">
        <v>0</v>
      </c>
    </row>
    <row r="95" spans="1:26" x14ac:dyDescent="0.25">
      <c r="A95">
        <v>73451940412</v>
      </c>
      <c r="B95" t="s">
        <v>1595</v>
      </c>
      <c r="C95">
        <v>25</v>
      </c>
      <c r="Z95">
        <v>0</v>
      </c>
    </row>
    <row r="96" spans="1:26" x14ac:dyDescent="0.25">
      <c r="A96">
        <v>73467865640</v>
      </c>
      <c r="B96" t="s">
        <v>1600</v>
      </c>
      <c r="C96">
        <v>25</v>
      </c>
      <c r="Z96">
        <v>0</v>
      </c>
    </row>
    <row r="97" spans="1:26" x14ac:dyDescent="0.25">
      <c r="A97">
        <v>73368979008</v>
      </c>
      <c r="B97" t="s">
        <v>1605</v>
      </c>
      <c r="C97">
        <v>24.545400000000001</v>
      </c>
      <c r="Z97">
        <v>0</v>
      </c>
    </row>
    <row r="98" spans="1:26" x14ac:dyDescent="0.25">
      <c r="A98">
        <v>73467291782</v>
      </c>
      <c r="B98" t="s">
        <v>1610</v>
      </c>
      <c r="C98">
        <v>25</v>
      </c>
      <c r="Z98">
        <v>0</v>
      </c>
    </row>
    <row r="99" spans="1:26" x14ac:dyDescent="0.25">
      <c r="A99">
        <v>73374347526</v>
      </c>
      <c r="B99" t="s">
        <v>1616</v>
      </c>
      <c r="C99">
        <v>25</v>
      </c>
      <c r="Z99">
        <v>0</v>
      </c>
    </row>
    <row r="100" spans="1:26" x14ac:dyDescent="0.25">
      <c r="A100">
        <v>73403606863</v>
      </c>
      <c r="B100" t="s">
        <v>1621</v>
      </c>
      <c r="C100">
        <v>25</v>
      </c>
      <c r="Z100">
        <v>0</v>
      </c>
    </row>
    <row r="101" spans="1:26" x14ac:dyDescent="0.25">
      <c r="A101">
        <v>73367177186</v>
      </c>
      <c r="B101" t="s">
        <v>1626</v>
      </c>
      <c r="C101">
        <v>24</v>
      </c>
      <c r="Z101">
        <v>0</v>
      </c>
    </row>
    <row r="102" spans="1:26" x14ac:dyDescent="0.25">
      <c r="A102">
        <v>73466066265</v>
      </c>
      <c r="B102" t="s">
        <v>1630</v>
      </c>
      <c r="C102">
        <v>25</v>
      </c>
      <c r="Z102">
        <v>0</v>
      </c>
    </row>
    <row r="103" spans="1:26" x14ac:dyDescent="0.25">
      <c r="A103">
        <v>73439197152</v>
      </c>
      <c r="B103" t="s">
        <v>1635</v>
      </c>
      <c r="C103">
        <v>25</v>
      </c>
      <c r="Z103">
        <v>0</v>
      </c>
    </row>
    <row r="104" spans="1:26" x14ac:dyDescent="0.25">
      <c r="A104">
        <v>73448883501</v>
      </c>
      <c r="B104" t="s">
        <v>1640</v>
      </c>
      <c r="C104">
        <v>25</v>
      </c>
      <c r="Z104">
        <v>0</v>
      </c>
    </row>
    <row r="105" spans="1:26" x14ac:dyDescent="0.25">
      <c r="A105">
        <v>73379688303</v>
      </c>
      <c r="B105" t="s">
        <v>1644</v>
      </c>
      <c r="C105">
        <v>25</v>
      </c>
      <c r="Z105">
        <v>0</v>
      </c>
    </row>
    <row r="106" spans="1:26" x14ac:dyDescent="0.25">
      <c r="A106">
        <v>73397945801</v>
      </c>
      <c r="B106" t="s">
        <v>1648</v>
      </c>
      <c r="C106">
        <v>25</v>
      </c>
      <c r="Z106">
        <v>0</v>
      </c>
    </row>
    <row r="107" spans="1:26" x14ac:dyDescent="0.25">
      <c r="A107">
        <v>73480762264</v>
      </c>
      <c r="B107" t="s">
        <v>1653</v>
      </c>
      <c r="C107">
        <v>24</v>
      </c>
      <c r="Z107">
        <v>0</v>
      </c>
    </row>
    <row r="108" spans="1:26" x14ac:dyDescent="0.25">
      <c r="A108">
        <v>73371958805</v>
      </c>
      <c r="B108" t="s">
        <v>1657</v>
      </c>
      <c r="C108">
        <v>25</v>
      </c>
      <c r="Z108">
        <v>0</v>
      </c>
    </row>
    <row r="109" spans="1:26" x14ac:dyDescent="0.25">
      <c r="A109">
        <v>73477836437</v>
      </c>
      <c r="B109" t="s">
        <v>1661</v>
      </c>
      <c r="C109">
        <v>24.5</v>
      </c>
      <c r="Z109">
        <v>0</v>
      </c>
    </row>
    <row r="110" spans="1:26" x14ac:dyDescent="0.25">
      <c r="A110">
        <v>73434537959</v>
      </c>
      <c r="B110" t="s">
        <v>1667</v>
      </c>
      <c r="C110">
        <v>24.545453999999999</v>
      </c>
      <c r="Z110">
        <v>0</v>
      </c>
    </row>
    <row r="111" spans="1:26" x14ac:dyDescent="0.25">
      <c r="A111">
        <v>73454899919</v>
      </c>
      <c r="B111" t="s">
        <v>1672</v>
      </c>
      <c r="C111">
        <v>25</v>
      </c>
      <c r="Z111">
        <v>0</v>
      </c>
    </row>
    <row r="112" spans="1:26" x14ac:dyDescent="0.25">
      <c r="A112">
        <v>73444952440</v>
      </c>
      <c r="B112" t="s">
        <v>1676</v>
      </c>
      <c r="C112">
        <v>25</v>
      </c>
      <c r="Z112">
        <v>0</v>
      </c>
    </row>
    <row r="113" spans="1:26" x14ac:dyDescent="0.25">
      <c r="A113">
        <v>73513465707</v>
      </c>
      <c r="B113" t="s">
        <v>1680</v>
      </c>
      <c r="C113">
        <v>24.5</v>
      </c>
      <c r="Z113">
        <v>0</v>
      </c>
    </row>
    <row r="114" spans="1:26" x14ac:dyDescent="0.25">
      <c r="A114">
        <v>73433823697</v>
      </c>
      <c r="B114" t="s">
        <v>1684</v>
      </c>
      <c r="C114">
        <v>25</v>
      </c>
      <c r="Z114">
        <v>0</v>
      </c>
    </row>
    <row r="115" spans="1:26" x14ac:dyDescent="0.25">
      <c r="A115">
        <v>73372163332</v>
      </c>
      <c r="B115" t="s">
        <v>1689</v>
      </c>
      <c r="C115">
        <v>25</v>
      </c>
      <c r="Z115">
        <v>0</v>
      </c>
    </row>
    <row r="116" spans="1:26" x14ac:dyDescent="0.25">
      <c r="A116">
        <v>73374463454</v>
      </c>
      <c r="B116" t="s">
        <v>1694</v>
      </c>
      <c r="C116">
        <v>25</v>
      </c>
      <c r="Z116">
        <v>0</v>
      </c>
    </row>
    <row r="117" spans="1:26" x14ac:dyDescent="0.25">
      <c r="A117">
        <v>73445841885</v>
      </c>
      <c r="B117" t="s">
        <v>1698</v>
      </c>
      <c r="C117">
        <v>25</v>
      </c>
      <c r="Z117">
        <v>0</v>
      </c>
    </row>
    <row r="118" spans="1:26" x14ac:dyDescent="0.25">
      <c r="A118">
        <v>73404064475</v>
      </c>
      <c r="B118" t="s">
        <v>1702</v>
      </c>
      <c r="C118">
        <v>25</v>
      </c>
      <c r="Z118">
        <v>0</v>
      </c>
    </row>
    <row r="119" spans="1:26" x14ac:dyDescent="0.25">
      <c r="A119">
        <v>73444982628</v>
      </c>
      <c r="B119" t="s">
        <v>1706</v>
      </c>
      <c r="C119">
        <v>25</v>
      </c>
      <c r="Z119">
        <v>0</v>
      </c>
    </row>
    <row r="120" spans="1:26" x14ac:dyDescent="0.25">
      <c r="A120">
        <v>73479398119</v>
      </c>
      <c r="B120" t="s">
        <v>1711</v>
      </c>
      <c r="C120">
        <v>25</v>
      </c>
      <c r="Z120">
        <v>0</v>
      </c>
    </row>
    <row r="121" spans="1:26" x14ac:dyDescent="0.25">
      <c r="A121">
        <v>73448027877</v>
      </c>
      <c r="B121" t="s">
        <v>1718</v>
      </c>
      <c r="C121">
        <v>25</v>
      </c>
      <c r="Z121">
        <v>0</v>
      </c>
    </row>
    <row r="122" spans="1:26" x14ac:dyDescent="0.25">
      <c r="A122">
        <v>73435670363</v>
      </c>
      <c r="B122" t="s">
        <v>1722</v>
      </c>
      <c r="C122">
        <v>24.5</v>
      </c>
      <c r="Z122">
        <v>0</v>
      </c>
    </row>
    <row r="123" spans="1:26" x14ac:dyDescent="0.25">
      <c r="A123">
        <v>73343614061</v>
      </c>
      <c r="B123" t="s">
        <v>1729</v>
      </c>
      <c r="C123">
        <v>25</v>
      </c>
      <c r="Z123">
        <v>0</v>
      </c>
    </row>
    <row r="124" spans="1:26" x14ac:dyDescent="0.25">
      <c r="A124">
        <v>73421145639</v>
      </c>
      <c r="B124" t="s">
        <v>1733</v>
      </c>
      <c r="C124">
        <v>23.076923000000001</v>
      </c>
      <c r="Z124">
        <v>0</v>
      </c>
    </row>
    <row r="125" spans="1:26" x14ac:dyDescent="0.25">
      <c r="A125">
        <v>73397733022</v>
      </c>
      <c r="B125" t="s">
        <v>1738</v>
      </c>
      <c r="C125">
        <v>25</v>
      </c>
      <c r="Z125">
        <v>0</v>
      </c>
    </row>
    <row r="126" spans="1:26" x14ac:dyDescent="0.25">
      <c r="A126">
        <v>73390867220</v>
      </c>
      <c r="B126" t="s">
        <v>1742</v>
      </c>
      <c r="C126">
        <v>25</v>
      </c>
      <c r="Z126">
        <v>0</v>
      </c>
    </row>
    <row r="127" spans="1:26" x14ac:dyDescent="0.25">
      <c r="A127">
        <v>73369223976</v>
      </c>
      <c r="B127" t="s">
        <v>1746</v>
      </c>
      <c r="C127">
        <v>23.181799999999999</v>
      </c>
      <c r="Z127">
        <v>0</v>
      </c>
    </row>
    <row r="128" spans="1:26" x14ac:dyDescent="0.25">
      <c r="A128">
        <v>73474201462</v>
      </c>
      <c r="B128" t="s">
        <v>1750</v>
      </c>
      <c r="C128">
        <v>25</v>
      </c>
      <c r="Z128">
        <v>0</v>
      </c>
    </row>
    <row r="129" spans="1:26" x14ac:dyDescent="0.25">
      <c r="A129">
        <v>74503209492</v>
      </c>
      <c r="B129" t="s">
        <v>1755</v>
      </c>
      <c r="C129">
        <v>24.090909</v>
      </c>
      <c r="Z129">
        <v>0</v>
      </c>
    </row>
    <row r="130" spans="1:26" x14ac:dyDescent="0.25">
      <c r="A130">
        <v>73514820336</v>
      </c>
      <c r="B130" t="s">
        <v>1760</v>
      </c>
      <c r="C130">
        <v>24.545453999999999</v>
      </c>
      <c r="Z130">
        <v>0</v>
      </c>
    </row>
    <row r="131" spans="1:26" x14ac:dyDescent="0.25">
      <c r="A131">
        <v>73433974468</v>
      </c>
      <c r="B131" t="s">
        <v>1766</v>
      </c>
      <c r="C131">
        <v>25</v>
      </c>
      <c r="Z131">
        <v>0</v>
      </c>
    </row>
    <row r="132" spans="1:26" x14ac:dyDescent="0.25">
      <c r="A132">
        <v>73475494565</v>
      </c>
      <c r="B132" t="s">
        <v>1771</v>
      </c>
      <c r="C132">
        <v>25</v>
      </c>
      <c r="Z132">
        <v>0</v>
      </c>
    </row>
    <row r="133" spans="1:26" x14ac:dyDescent="0.25">
      <c r="A133">
        <v>73364247714</v>
      </c>
      <c r="B133" t="s">
        <v>1776</v>
      </c>
      <c r="C133">
        <v>23.63</v>
      </c>
      <c r="Z133">
        <v>0</v>
      </c>
    </row>
    <row r="134" spans="1:26" x14ac:dyDescent="0.25">
      <c r="A134">
        <v>73385719960</v>
      </c>
      <c r="B134" t="s">
        <v>1780</v>
      </c>
      <c r="C134">
        <v>24.090909</v>
      </c>
      <c r="Z134">
        <v>0</v>
      </c>
    </row>
    <row r="135" spans="1:26" x14ac:dyDescent="0.25">
      <c r="A135">
        <v>73453319030</v>
      </c>
      <c r="B135" t="s">
        <v>1785</v>
      </c>
      <c r="C135">
        <v>24.545400000000001</v>
      </c>
      <c r="Z135">
        <v>0</v>
      </c>
    </row>
    <row r="136" spans="1:26" x14ac:dyDescent="0.25">
      <c r="A136">
        <v>73434586908</v>
      </c>
      <c r="B136" t="s">
        <v>1790</v>
      </c>
      <c r="C136">
        <v>25</v>
      </c>
      <c r="Z136">
        <v>0</v>
      </c>
    </row>
    <row r="137" spans="1:26" x14ac:dyDescent="0.25">
      <c r="A137">
        <v>73448493800</v>
      </c>
      <c r="B137" t="s">
        <v>1795</v>
      </c>
      <c r="C137">
        <v>23.5</v>
      </c>
      <c r="Z137">
        <v>0</v>
      </c>
    </row>
    <row r="138" spans="1:26" x14ac:dyDescent="0.25">
      <c r="A138">
        <v>73375507384</v>
      </c>
      <c r="B138" t="s">
        <v>1800</v>
      </c>
      <c r="C138">
        <v>23.5</v>
      </c>
      <c r="Z138">
        <v>0</v>
      </c>
    </row>
    <row r="139" spans="1:26" x14ac:dyDescent="0.25">
      <c r="A139">
        <v>73355999451</v>
      </c>
      <c r="B139" t="s">
        <v>1806</v>
      </c>
      <c r="C139">
        <v>25</v>
      </c>
      <c r="Z139">
        <v>0</v>
      </c>
    </row>
    <row r="140" spans="1:26" x14ac:dyDescent="0.25">
      <c r="A140">
        <v>73417361762</v>
      </c>
      <c r="B140" t="s">
        <v>1812</v>
      </c>
      <c r="C140">
        <v>25</v>
      </c>
      <c r="Z140">
        <v>0</v>
      </c>
    </row>
    <row r="141" spans="1:26" x14ac:dyDescent="0.25">
      <c r="A141">
        <v>73445782588</v>
      </c>
      <c r="B141" t="s">
        <v>1816</v>
      </c>
      <c r="C141">
        <v>25</v>
      </c>
      <c r="Z141">
        <v>0</v>
      </c>
    </row>
    <row r="142" spans="1:26" x14ac:dyDescent="0.25">
      <c r="A142">
        <v>73458608976</v>
      </c>
      <c r="B142" t="s">
        <v>1820</v>
      </c>
      <c r="C142">
        <v>25</v>
      </c>
      <c r="Z142">
        <v>0</v>
      </c>
    </row>
    <row r="143" spans="1:26" x14ac:dyDescent="0.25">
      <c r="A143">
        <v>73434085476</v>
      </c>
      <c r="B143" t="s">
        <v>1825</v>
      </c>
      <c r="C143">
        <v>25</v>
      </c>
      <c r="Z143">
        <v>0</v>
      </c>
    </row>
    <row r="144" spans="1:26" x14ac:dyDescent="0.25">
      <c r="A144">
        <v>73452211159</v>
      </c>
      <c r="B144" t="s">
        <v>1830</v>
      </c>
      <c r="C144">
        <v>25</v>
      </c>
      <c r="Z144">
        <v>0</v>
      </c>
    </row>
    <row r="145" spans="1:26" x14ac:dyDescent="0.25">
      <c r="A145">
        <v>73377365054</v>
      </c>
      <c r="B145" t="s">
        <v>1835</v>
      </c>
      <c r="C145">
        <v>25</v>
      </c>
      <c r="Z145">
        <v>0</v>
      </c>
    </row>
    <row r="146" spans="1:26" x14ac:dyDescent="0.25">
      <c r="A146">
        <v>73403038256</v>
      </c>
      <c r="B146" t="s">
        <v>1840</v>
      </c>
      <c r="C146">
        <v>25</v>
      </c>
      <c r="Z146">
        <v>0</v>
      </c>
    </row>
    <row r="147" spans="1:26" x14ac:dyDescent="0.25">
      <c r="A147">
        <v>73373316392</v>
      </c>
      <c r="B147" t="s">
        <v>1846</v>
      </c>
      <c r="C147">
        <v>24.44</v>
      </c>
      <c r="Z147">
        <v>0</v>
      </c>
    </row>
    <row r="148" spans="1:26" x14ac:dyDescent="0.25">
      <c r="A148">
        <v>74214111000</v>
      </c>
      <c r="B148" t="s">
        <v>1851</v>
      </c>
      <c r="C148">
        <v>25</v>
      </c>
      <c r="Z148">
        <v>0</v>
      </c>
    </row>
    <row r="149" spans="1:26" x14ac:dyDescent="0.25">
      <c r="A149">
        <v>73398242252</v>
      </c>
      <c r="B149" t="s">
        <v>1857</v>
      </c>
      <c r="C149">
        <v>24.5</v>
      </c>
      <c r="Z149">
        <v>0</v>
      </c>
    </row>
    <row r="150" spans="1:26" x14ac:dyDescent="0.25">
      <c r="A150">
        <v>73397706179</v>
      </c>
      <c r="B150" t="s">
        <v>1862</v>
      </c>
      <c r="C150">
        <v>25</v>
      </c>
      <c r="Z150">
        <v>0</v>
      </c>
    </row>
    <row r="151" spans="1:26" x14ac:dyDescent="0.25">
      <c r="A151">
        <v>73461374108</v>
      </c>
      <c r="B151" t="s">
        <v>1867</v>
      </c>
      <c r="C151">
        <v>24.545400000000001</v>
      </c>
      <c r="Z151">
        <v>0</v>
      </c>
    </row>
    <row r="152" spans="1:26" x14ac:dyDescent="0.25">
      <c r="A152">
        <v>73444904013</v>
      </c>
      <c r="B152" t="s">
        <v>1873</v>
      </c>
      <c r="C152">
        <v>22.2727</v>
      </c>
      <c r="Z152">
        <v>0</v>
      </c>
    </row>
    <row r="153" spans="1:26" x14ac:dyDescent="0.25">
      <c r="A153">
        <v>73441125482</v>
      </c>
      <c r="B153" t="s">
        <v>1878</v>
      </c>
      <c r="C153">
        <v>25</v>
      </c>
      <c r="Z153">
        <v>0</v>
      </c>
    </row>
    <row r="154" spans="1:26" x14ac:dyDescent="0.25">
      <c r="A154">
        <v>73392543419</v>
      </c>
      <c r="B154" t="s">
        <v>1883</v>
      </c>
      <c r="C154">
        <v>25</v>
      </c>
      <c r="Z154">
        <v>0</v>
      </c>
    </row>
    <row r="155" spans="1:26" x14ac:dyDescent="0.25">
      <c r="A155">
        <v>73465412898</v>
      </c>
      <c r="B155" t="s">
        <v>1887</v>
      </c>
      <c r="C155">
        <v>25</v>
      </c>
      <c r="Z155">
        <v>0</v>
      </c>
    </row>
    <row r="156" spans="1:26" x14ac:dyDescent="0.25">
      <c r="A156">
        <v>73415374171</v>
      </c>
      <c r="B156" t="s">
        <v>1891</v>
      </c>
      <c r="C156">
        <v>25</v>
      </c>
      <c r="Z156">
        <v>0</v>
      </c>
    </row>
    <row r="157" spans="1:26" x14ac:dyDescent="0.25">
      <c r="A157">
        <v>73366464798</v>
      </c>
      <c r="B157" t="s">
        <v>1896</v>
      </c>
      <c r="C157">
        <v>25</v>
      </c>
      <c r="Z157">
        <v>0</v>
      </c>
    </row>
    <row r="158" spans="1:26" x14ac:dyDescent="0.25">
      <c r="A158">
        <v>73396591002</v>
      </c>
      <c r="B158" t="s">
        <v>1901</v>
      </c>
      <c r="C158">
        <v>25</v>
      </c>
      <c r="Z158">
        <v>0</v>
      </c>
    </row>
    <row r="159" spans="1:26" x14ac:dyDescent="0.25">
      <c r="A159">
        <v>73453335286</v>
      </c>
      <c r="B159" t="s">
        <v>1906</v>
      </c>
      <c r="C159">
        <v>25</v>
      </c>
      <c r="Z159">
        <v>0</v>
      </c>
    </row>
    <row r="160" spans="1:26" x14ac:dyDescent="0.25">
      <c r="A160">
        <v>73354124031</v>
      </c>
      <c r="B160" t="s">
        <v>1910</v>
      </c>
      <c r="C160">
        <v>25</v>
      </c>
      <c r="Z160">
        <v>0</v>
      </c>
    </row>
    <row r="161" spans="1:26" x14ac:dyDescent="0.25">
      <c r="A161">
        <v>73433972875</v>
      </c>
      <c r="B161" t="s">
        <v>1915</v>
      </c>
      <c r="C161">
        <v>25</v>
      </c>
      <c r="Z161">
        <v>0</v>
      </c>
    </row>
    <row r="162" spans="1:26" x14ac:dyDescent="0.25">
      <c r="A162">
        <v>73370819656</v>
      </c>
      <c r="B162" t="s">
        <v>1920</v>
      </c>
      <c r="C162">
        <v>25</v>
      </c>
      <c r="Z162">
        <v>0</v>
      </c>
    </row>
    <row r="163" spans="1:26" x14ac:dyDescent="0.25">
      <c r="A163">
        <v>73388537952</v>
      </c>
      <c r="B163" t="s">
        <v>1923</v>
      </c>
      <c r="C163">
        <v>24.583333</v>
      </c>
      <c r="Z163">
        <v>0</v>
      </c>
    </row>
    <row r="164" spans="1:26" x14ac:dyDescent="0.25">
      <c r="A164">
        <v>73388017809</v>
      </c>
      <c r="B164" t="s">
        <v>2824</v>
      </c>
      <c r="C164">
        <v>25</v>
      </c>
      <c r="Z164">
        <v>0</v>
      </c>
    </row>
    <row r="165" spans="1:26" x14ac:dyDescent="0.25">
      <c r="A165">
        <v>73388066975</v>
      </c>
      <c r="B165" t="s">
        <v>1929</v>
      </c>
      <c r="C165">
        <v>23.63</v>
      </c>
      <c r="Z165">
        <v>0</v>
      </c>
    </row>
    <row r="166" spans="1:26" x14ac:dyDescent="0.25">
      <c r="A166">
        <v>73434246666</v>
      </c>
      <c r="B166" t="s">
        <v>1932</v>
      </c>
      <c r="C166">
        <v>25</v>
      </c>
      <c r="Z166">
        <v>0</v>
      </c>
    </row>
    <row r="167" spans="1:26" x14ac:dyDescent="0.25">
      <c r="A167">
        <v>73436408585</v>
      </c>
      <c r="B167" t="s">
        <v>1938</v>
      </c>
      <c r="C167">
        <v>24.5</v>
      </c>
      <c r="Z167">
        <v>0</v>
      </c>
    </row>
    <row r="168" spans="1:26" x14ac:dyDescent="0.25">
      <c r="A168">
        <v>73477201214</v>
      </c>
      <c r="B168" t="s">
        <v>1944</v>
      </c>
      <c r="C168">
        <v>25</v>
      </c>
      <c r="Z168">
        <v>0</v>
      </c>
    </row>
    <row r="169" spans="1:26" x14ac:dyDescent="0.25">
      <c r="A169">
        <v>73419619808</v>
      </c>
      <c r="B169" t="s">
        <v>1950</v>
      </c>
      <c r="C169">
        <v>25</v>
      </c>
      <c r="Z169">
        <v>0</v>
      </c>
    </row>
    <row r="170" spans="1:26" x14ac:dyDescent="0.25">
      <c r="A170">
        <v>73452614582</v>
      </c>
      <c r="B170" t="s">
        <v>1954</v>
      </c>
      <c r="C170">
        <v>25</v>
      </c>
      <c r="Z170">
        <v>0</v>
      </c>
    </row>
    <row r="171" spans="1:26" x14ac:dyDescent="0.25">
      <c r="A171">
        <v>73394182862</v>
      </c>
      <c r="B171" t="s">
        <v>1958</v>
      </c>
      <c r="C171">
        <v>25</v>
      </c>
      <c r="Z171">
        <v>0</v>
      </c>
    </row>
    <row r="172" spans="1:26" x14ac:dyDescent="0.25">
      <c r="A172">
        <v>73451670818</v>
      </c>
      <c r="B172" t="s">
        <v>1963</v>
      </c>
      <c r="C172">
        <v>25</v>
      </c>
      <c r="Z172">
        <v>0</v>
      </c>
    </row>
    <row r="173" spans="1:26" x14ac:dyDescent="0.25">
      <c r="A173">
        <v>73440202460</v>
      </c>
      <c r="B173" t="s">
        <v>1968</v>
      </c>
      <c r="C173">
        <v>25</v>
      </c>
      <c r="Z173">
        <v>0</v>
      </c>
    </row>
    <row r="174" spans="1:26" x14ac:dyDescent="0.25">
      <c r="A174">
        <v>73596362201</v>
      </c>
      <c r="B174" t="s">
        <v>1973</v>
      </c>
      <c r="C174">
        <v>25</v>
      </c>
      <c r="Z174">
        <v>0</v>
      </c>
    </row>
    <row r="175" spans="1:26" x14ac:dyDescent="0.25">
      <c r="A175">
        <v>73409303441</v>
      </c>
      <c r="B175" t="s">
        <v>1979</v>
      </c>
      <c r="C175">
        <v>25</v>
      </c>
      <c r="Z175">
        <v>0</v>
      </c>
    </row>
    <row r="176" spans="1:26" x14ac:dyDescent="0.25">
      <c r="A176">
        <v>73459681193</v>
      </c>
      <c r="B176" t="s">
        <v>1984</v>
      </c>
      <c r="C176">
        <v>25</v>
      </c>
      <c r="Z176">
        <v>0</v>
      </c>
    </row>
    <row r="177" spans="1:26" x14ac:dyDescent="0.25">
      <c r="A177">
        <v>73343503948</v>
      </c>
      <c r="B177" t="s">
        <v>1989</v>
      </c>
      <c r="C177">
        <v>24.545453999999999</v>
      </c>
      <c r="Z177">
        <v>0</v>
      </c>
    </row>
    <row r="178" spans="1:26" x14ac:dyDescent="0.25">
      <c r="A178">
        <v>73374399700</v>
      </c>
      <c r="B178" t="s">
        <v>1994</v>
      </c>
      <c r="C178">
        <v>25</v>
      </c>
      <c r="Z178">
        <v>0</v>
      </c>
    </row>
    <row r="179" spans="1:26" x14ac:dyDescent="0.25">
      <c r="A179">
        <v>73483894300</v>
      </c>
      <c r="B179" t="s">
        <v>1999</v>
      </c>
      <c r="C179">
        <v>25</v>
      </c>
      <c r="Z179">
        <v>0</v>
      </c>
    </row>
    <row r="180" spans="1:26" x14ac:dyDescent="0.25">
      <c r="A180">
        <v>73451240657</v>
      </c>
      <c r="B180" t="s">
        <v>2005</v>
      </c>
      <c r="C180">
        <v>25</v>
      </c>
      <c r="Z180">
        <v>0</v>
      </c>
    </row>
    <row r="181" spans="1:26" x14ac:dyDescent="0.25">
      <c r="A181">
        <v>73479782489</v>
      </c>
      <c r="B181" t="s">
        <v>2009</v>
      </c>
      <c r="C181">
        <v>25</v>
      </c>
      <c r="Z181">
        <v>0</v>
      </c>
    </row>
    <row r="182" spans="1:26" x14ac:dyDescent="0.25">
      <c r="A182">
        <v>73347281187</v>
      </c>
      <c r="B182" t="s">
        <v>2013</v>
      </c>
      <c r="C182">
        <v>21.428571000000002</v>
      </c>
      <c r="Z182">
        <v>0</v>
      </c>
    </row>
    <row r="183" spans="1:26" x14ac:dyDescent="0.25">
      <c r="A183">
        <v>73427679480</v>
      </c>
      <c r="B183" t="s">
        <v>2018</v>
      </c>
      <c r="C183">
        <v>23.5</v>
      </c>
      <c r="Z183">
        <v>0</v>
      </c>
    </row>
    <row r="184" spans="1:26" x14ac:dyDescent="0.25">
      <c r="A184">
        <v>73355399771</v>
      </c>
      <c r="B184" t="s">
        <v>2023</v>
      </c>
      <c r="C184">
        <v>24.54</v>
      </c>
      <c r="Z184">
        <v>0</v>
      </c>
    </row>
    <row r="185" spans="1:26" x14ac:dyDescent="0.25">
      <c r="A185">
        <v>73397095466</v>
      </c>
      <c r="B185" t="s">
        <v>2029</v>
      </c>
      <c r="C185">
        <v>22.72</v>
      </c>
      <c r="Z185">
        <v>0</v>
      </c>
    </row>
    <row r="186" spans="1:26" x14ac:dyDescent="0.25">
      <c r="A186">
        <v>73395980409</v>
      </c>
      <c r="B186" t="s">
        <v>2033</v>
      </c>
      <c r="Z186">
        <v>0</v>
      </c>
    </row>
    <row r="187" spans="1:26" x14ac:dyDescent="0.25">
      <c r="A187">
        <v>73457052387</v>
      </c>
      <c r="B187" t="s">
        <v>2038</v>
      </c>
      <c r="C187">
        <v>25</v>
      </c>
      <c r="Z187">
        <v>0</v>
      </c>
    </row>
    <row r="188" spans="1:26" x14ac:dyDescent="0.25">
      <c r="A188">
        <v>73355322097</v>
      </c>
      <c r="B188" t="s">
        <v>2043</v>
      </c>
      <c r="C188">
        <v>25</v>
      </c>
      <c r="Z188">
        <v>0</v>
      </c>
    </row>
    <row r="189" spans="1:26" x14ac:dyDescent="0.25">
      <c r="A189">
        <v>73379215029</v>
      </c>
      <c r="B189" t="s">
        <v>2050</v>
      </c>
      <c r="C189">
        <v>24.5</v>
      </c>
      <c r="Z189">
        <v>0</v>
      </c>
    </row>
    <row r="190" spans="1:26" x14ac:dyDescent="0.25">
      <c r="A190">
        <v>73542078254</v>
      </c>
      <c r="B190" t="s">
        <v>2055</v>
      </c>
      <c r="C190">
        <v>24.545453999999999</v>
      </c>
      <c r="Z190">
        <v>0</v>
      </c>
    </row>
    <row r="191" spans="1:26" x14ac:dyDescent="0.25">
      <c r="A191">
        <v>73375728859</v>
      </c>
      <c r="B191" t="s">
        <v>2059</v>
      </c>
      <c r="C191">
        <v>24.5</v>
      </c>
      <c r="Z191">
        <v>0</v>
      </c>
    </row>
    <row r="192" spans="1:26" x14ac:dyDescent="0.25">
      <c r="A192">
        <v>73367209314</v>
      </c>
      <c r="B192" t="s">
        <v>2064</v>
      </c>
      <c r="C192">
        <v>25</v>
      </c>
      <c r="Z192">
        <v>0</v>
      </c>
    </row>
    <row r="193" spans="1:26" x14ac:dyDescent="0.25">
      <c r="A193">
        <v>73457498065</v>
      </c>
      <c r="B193" t="s">
        <v>2069</v>
      </c>
      <c r="C193">
        <v>24.614999999999998</v>
      </c>
      <c r="Z193">
        <v>0</v>
      </c>
    </row>
    <row r="194" spans="1:26" x14ac:dyDescent="0.25">
      <c r="A194">
        <v>73433826124</v>
      </c>
      <c r="B194" t="s">
        <v>2075</v>
      </c>
      <c r="C194">
        <v>25</v>
      </c>
      <c r="Z194">
        <v>0</v>
      </c>
    </row>
    <row r="195" spans="1:26" x14ac:dyDescent="0.25">
      <c r="A195">
        <v>73380164423</v>
      </c>
      <c r="B195" t="s">
        <v>2081</v>
      </c>
      <c r="C195">
        <v>25</v>
      </c>
      <c r="Z195">
        <v>0</v>
      </c>
    </row>
    <row r="196" spans="1:26" x14ac:dyDescent="0.25">
      <c r="A196">
        <v>73377394940</v>
      </c>
      <c r="B196" t="s">
        <v>2085</v>
      </c>
      <c r="C196">
        <v>25</v>
      </c>
      <c r="Z196">
        <v>0</v>
      </c>
    </row>
    <row r="197" spans="1:26" x14ac:dyDescent="0.25">
      <c r="A197">
        <v>73381903177</v>
      </c>
      <c r="B197" t="s">
        <v>2089</v>
      </c>
      <c r="C197">
        <v>25</v>
      </c>
      <c r="Z197">
        <v>0</v>
      </c>
    </row>
    <row r="198" spans="1:26" x14ac:dyDescent="0.25">
      <c r="A198">
        <v>73455849297</v>
      </c>
      <c r="B198" t="s">
        <v>2094</v>
      </c>
      <c r="C198">
        <v>25</v>
      </c>
      <c r="Z198">
        <v>0</v>
      </c>
    </row>
    <row r="199" spans="1:26" x14ac:dyDescent="0.25">
      <c r="A199">
        <v>73392263925</v>
      </c>
      <c r="B199" t="s">
        <v>2098</v>
      </c>
      <c r="C199">
        <v>25</v>
      </c>
      <c r="Z199">
        <v>0</v>
      </c>
    </row>
    <row r="200" spans="1:26" x14ac:dyDescent="0.25">
      <c r="A200">
        <v>73441453376</v>
      </c>
      <c r="B200" t="s">
        <v>2103</v>
      </c>
      <c r="C200">
        <v>25</v>
      </c>
      <c r="Z200">
        <v>0</v>
      </c>
    </row>
    <row r="201" spans="1:26" x14ac:dyDescent="0.25">
      <c r="A201">
        <v>73388860536</v>
      </c>
      <c r="B201" t="s">
        <v>2108</v>
      </c>
      <c r="C201">
        <v>25</v>
      </c>
      <c r="Z201">
        <v>0</v>
      </c>
    </row>
    <row r="202" spans="1:26" x14ac:dyDescent="0.25">
      <c r="A202">
        <v>73446881992</v>
      </c>
      <c r="B202" t="s">
        <v>2112</v>
      </c>
      <c r="C202">
        <v>23.181818</v>
      </c>
      <c r="Z202">
        <v>0</v>
      </c>
    </row>
    <row r="203" spans="1:26" x14ac:dyDescent="0.25">
      <c r="A203">
        <v>73401195268</v>
      </c>
      <c r="B203" t="s">
        <v>2117</v>
      </c>
      <c r="C203">
        <v>25</v>
      </c>
      <c r="Z203">
        <v>0</v>
      </c>
    </row>
    <row r="204" spans="1:26" x14ac:dyDescent="0.25">
      <c r="A204">
        <v>73467305298</v>
      </c>
      <c r="B204" t="s">
        <v>2122</v>
      </c>
      <c r="C204">
        <v>25</v>
      </c>
      <c r="Z204">
        <v>0</v>
      </c>
    </row>
    <row r="205" spans="1:26" x14ac:dyDescent="0.25">
      <c r="A205">
        <v>73450879533</v>
      </c>
      <c r="B205" t="s">
        <v>2125</v>
      </c>
      <c r="C205">
        <v>25</v>
      </c>
      <c r="Z205">
        <v>0</v>
      </c>
    </row>
    <row r="206" spans="1:26" x14ac:dyDescent="0.25">
      <c r="A206">
        <v>73386282676</v>
      </c>
      <c r="B206" t="s">
        <v>2131</v>
      </c>
      <c r="C206">
        <v>23.75</v>
      </c>
      <c r="Z206">
        <v>0</v>
      </c>
    </row>
    <row r="207" spans="1:26" x14ac:dyDescent="0.25">
      <c r="A207">
        <v>73383115638</v>
      </c>
      <c r="B207" t="s">
        <v>2136</v>
      </c>
      <c r="C207">
        <v>24.545453999999999</v>
      </c>
      <c r="Z207">
        <v>0</v>
      </c>
    </row>
    <row r="208" spans="1:26" x14ac:dyDescent="0.25">
      <c r="A208">
        <v>73428458368</v>
      </c>
      <c r="B208" t="s">
        <v>2141</v>
      </c>
      <c r="C208">
        <v>25</v>
      </c>
      <c r="Z208">
        <v>0</v>
      </c>
    </row>
    <row r="209" spans="1:26" x14ac:dyDescent="0.25">
      <c r="A209">
        <v>73573016954</v>
      </c>
      <c r="B209" t="s">
        <v>2146</v>
      </c>
      <c r="C209">
        <v>24.58333</v>
      </c>
      <c r="Z209">
        <v>0</v>
      </c>
    </row>
    <row r="210" spans="1:26" x14ac:dyDescent="0.25">
      <c r="A210">
        <v>73383922770</v>
      </c>
      <c r="B210" t="s">
        <v>2152</v>
      </c>
      <c r="C210">
        <v>25</v>
      </c>
      <c r="Z210">
        <v>0</v>
      </c>
    </row>
    <row r="211" spans="1:26" x14ac:dyDescent="0.25">
      <c r="A211">
        <v>73397094404</v>
      </c>
      <c r="B211" t="s">
        <v>2156</v>
      </c>
      <c r="C211">
        <v>25</v>
      </c>
      <c r="Z211">
        <v>0</v>
      </c>
    </row>
    <row r="212" spans="1:26" x14ac:dyDescent="0.25">
      <c r="A212">
        <v>73398200860</v>
      </c>
      <c r="B212" t="s">
        <v>2162</v>
      </c>
      <c r="C212">
        <v>25</v>
      </c>
      <c r="Z212">
        <v>0</v>
      </c>
    </row>
    <row r="213" spans="1:26" x14ac:dyDescent="0.25">
      <c r="A213">
        <v>73468132299</v>
      </c>
      <c r="B213" t="s">
        <v>2166</v>
      </c>
      <c r="C213">
        <v>25</v>
      </c>
      <c r="Z213">
        <v>0</v>
      </c>
    </row>
    <row r="214" spans="1:26" x14ac:dyDescent="0.25">
      <c r="A214">
        <v>73409504851</v>
      </c>
      <c r="B214" t="s">
        <v>2171</v>
      </c>
      <c r="C214">
        <v>25</v>
      </c>
      <c r="Z214">
        <v>0</v>
      </c>
    </row>
    <row r="215" spans="1:26" x14ac:dyDescent="0.25">
      <c r="A215">
        <v>73469581852</v>
      </c>
      <c r="B215" t="s">
        <v>2175</v>
      </c>
      <c r="C215">
        <v>25</v>
      </c>
      <c r="Z215">
        <v>0</v>
      </c>
    </row>
    <row r="216" spans="1:26" x14ac:dyDescent="0.25">
      <c r="A216">
        <v>73434106790</v>
      </c>
      <c r="B216" t="s">
        <v>2178</v>
      </c>
      <c r="C216">
        <v>25</v>
      </c>
      <c r="Z216">
        <v>0</v>
      </c>
    </row>
    <row r="217" spans="1:26" x14ac:dyDescent="0.25">
      <c r="A217">
        <v>73476816770</v>
      </c>
      <c r="B217" t="s">
        <v>2183</v>
      </c>
      <c r="C217">
        <v>25</v>
      </c>
      <c r="Z217">
        <v>0</v>
      </c>
    </row>
    <row r="218" spans="1:26" x14ac:dyDescent="0.25">
      <c r="A218">
        <v>73405061333</v>
      </c>
      <c r="B218" t="s">
        <v>2187</v>
      </c>
      <c r="C218">
        <v>25</v>
      </c>
      <c r="Z218">
        <v>0</v>
      </c>
    </row>
    <row r="219" spans="1:26" x14ac:dyDescent="0.25">
      <c r="A219">
        <v>73386368117</v>
      </c>
      <c r="B219" t="s">
        <v>2192</v>
      </c>
      <c r="C219">
        <v>25</v>
      </c>
      <c r="Z219">
        <v>0</v>
      </c>
    </row>
    <row r="220" spans="1:26" x14ac:dyDescent="0.25">
      <c r="A220">
        <v>73389177137</v>
      </c>
      <c r="B220" t="s">
        <v>2197</v>
      </c>
      <c r="C220">
        <v>25</v>
      </c>
      <c r="Z220">
        <v>0</v>
      </c>
    </row>
    <row r="221" spans="1:26" x14ac:dyDescent="0.25">
      <c r="A221">
        <v>73433982479</v>
      </c>
      <c r="B221" t="s">
        <v>2202</v>
      </c>
      <c r="C221">
        <v>24.090909</v>
      </c>
      <c r="Z221">
        <v>0</v>
      </c>
    </row>
    <row r="222" spans="1:26" x14ac:dyDescent="0.25">
      <c r="A222">
        <v>73451007188</v>
      </c>
      <c r="B222" t="s">
        <v>2206</v>
      </c>
      <c r="C222">
        <v>25</v>
      </c>
      <c r="Z222">
        <v>0</v>
      </c>
    </row>
    <row r="223" spans="1:26" x14ac:dyDescent="0.25">
      <c r="A223">
        <v>73423956297</v>
      </c>
      <c r="B223" t="s">
        <v>2211</v>
      </c>
      <c r="C223">
        <v>25</v>
      </c>
      <c r="Z223">
        <v>0</v>
      </c>
    </row>
    <row r="224" spans="1:26" x14ac:dyDescent="0.25">
      <c r="A224">
        <v>73362108829</v>
      </c>
      <c r="B224" t="s">
        <v>2216</v>
      </c>
      <c r="C224">
        <v>22</v>
      </c>
      <c r="Z224">
        <v>0</v>
      </c>
    </row>
    <row r="225" spans="1:26" x14ac:dyDescent="0.25">
      <c r="A225">
        <v>73377956129</v>
      </c>
      <c r="B225" t="s">
        <v>2222</v>
      </c>
      <c r="C225">
        <v>25</v>
      </c>
      <c r="Z225">
        <v>0</v>
      </c>
    </row>
    <row r="226" spans="1:26" x14ac:dyDescent="0.25">
      <c r="A226">
        <v>73403301833</v>
      </c>
      <c r="B226" t="s">
        <v>2228</v>
      </c>
      <c r="C226">
        <v>25</v>
      </c>
      <c r="Z226">
        <v>0</v>
      </c>
    </row>
    <row r="227" spans="1:26" x14ac:dyDescent="0.25">
      <c r="A227">
        <v>73484274121</v>
      </c>
      <c r="B227" t="s">
        <v>2234</v>
      </c>
      <c r="C227">
        <v>25</v>
      </c>
      <c r="Z227">
        <v>0</v>
      </c>
    </row>
    <row r="228" spans="1:26" x14ac:dyDescent="0.25">
      <c r="A228">
        <v>73355315314</v>
      </c>
      <c r="B228" t="s">
        <v>2239</v>
      </c>
      <c r="C228">
        <v>25</v>
      </c>
      <c r="Z228">
        <v>0</v>
      </c>
    </row>
    <row r="229" spans="1:26" x14ac:dyDescent="0.25">
      <c r="A229">
        <v>73394043958</v>
      </c>
      <c r="B229" t="s">
        <v>2244</v>
      </c>
      <c r="C229">
        <v>23.63</v>
      </c>
      <c r="Z229">
        <v>0</v>
      </c>
    </row>
    <row r="230" spans="1:26" x14ac:dyDescent="0.25">
      <c r="A230">
        <v>73393876626</v>
      </c>
      <c r="B230" t="s">
        <v>2248</v>
      </c>
      <c r="C230">
        <v>25</v>
      </c>
      <c r="Z230">
        <v>0</v>
      </c>
    </row>
    <row r="231" spans="1:26" x14ac:dyDescent="0.25">
      <c r="A231">
        <v>73368474407</v>
      </c>
      <c r="B231" t="s">
        <v>2254</v>
      </c>
      <c r="C231">
        <v>23.636362999999999</v>
      </c>
      <c r="Z231">
        <v>0</v>
      </c>
    </row>
    <row r="232" spans="1:26" x14ac:dyDescent="0.25">
      <c r="A232">
        <v>73439729834</v>
      </c>
      <c r="B232" t="s">
        <v>2260</v>
      </c>
      <c r="C232">
        <v>25</v>
      </c>
      <c r="Z232">
        <v>0</v>
      </c>
    </row>
    <row r="233" spans="1:26" x14ac:dyDescent="0.25">
      <c r="A233">
        <v>73489743706</v>
      </c>
      <c r="B233" t="s">
        <v>2266</v>
      </c>
      <c r="C233">
        <v>25</v>
      </c>
      <c r="Z233">
        <v>0</v>
      </c>
    </row>
    <row r="234" spans="1:26" x14ac:dyDescent="0.25">
      <c r="A234">
        <v>73394526266</v>
      </c>
      <c r="B234" t="s">
        <v>2270</v>
      </c>
      <c r="C234">
        <v>24.5</v>
      </c>
      <c r="Z234">
        <v>0</v>
      </c>
    </row>
    <row r="235" spans="1:26" x14ac:dyDescent="0.25">
      <c r="A235">
        <v>73356617786</v>
      </c>
      <c r="B235" t="s">
        <v>2276</v>
      </c>
      <c r="C235">
        <v>25</v>
      </c>
      <c r="Z235">
        <v>0</v>
      </c>
    </row>
    <row r="236" spans="1:26" x14ac:dyDescent="0.25">
      <c r="A236">
        <v>73433973380</v>
      </c>
      <c r="B236" t="s">
        <v>2281</v>
      </c>
      <c r="C236">
        <v>25</v>
      </c>
      <c r="Z236">
        <v>0</v>
      </c>
    </row>
    <row r="237" spans="1:26" x14ac:dyDescent="0.25">
      <c r="A237">
        <v>73443908312</v>
      </c>
      <c r="B237" t="s">
        <v>2286</v>
      </c>
      <c r="C237">
        <v>24.5</v>
      </c>
      <c r="Z237">
        <v>0</v>
      </c>
    </row>
    <row r="238" spans="1:26" x14ac:dyDescent="0.25">
      <c r="A238">
        <v>73463845757</v>
      </c>
      <c r="B238" t="s">
        <v>2291</v>
      </c>
      <c r="C238">
        <v>24.5</v>
      </c>
      <c r="Z238">
        <v>0</v>
      </c>
    </row>
    <row r="239" spans="1:26" x14ac:dyDescent="0.25">
      <c r="A239">
        <v>73470036843</v>
      </c>
      <c r="B239" t="s">
        <v>2296</v>
      </c>
      <c r="C239">
        <v>25</v>
      </c>
      <c r="Z239">
        <v>0</v>
      </c>
    </row>
    <row r="240" spans="1:26" x14ac:dyDescent="0.25">
      <c r="A240">
        <v>73398612264</v>
      </c>
      <c r="B240" t="s">
        <v>2300</v>
      </c>
      <c r="C240">
        <v>25</v>
      </c>
      <c r="Z240">
        <v>0</v>
      </c>
    </row>
    <row r="241" spans="1:26" x14ac:dyDescent="0.25">
      <c r="A241">
        <v>73431940030</v>
      </c>
      <c r="B241" t="s">
        <v>2305</v>
      </c>
      <c r="C241">
        <v>24.09</v>
      </c>
      <c r="Z241">
        <v>0</v>
      </c>
    </row>
    <row r="242" spans="1:26" x14ac:dyDescent="0.25">
      <c r="A242">
        <v>73444461676</v>
      </c>
      <c r="B242" t="s">
        <v>2310</v>
      </c>
      <c r="C242">
        <v>25</v>
      </c>
      <c r="Z242">
        <v>0</v>
      </c>
    </row>
    <row r="243" spans="1:26" x14ac:dyDescent="0.25">
      <c r="A243">
        <v>73402869117</v>
      </c>
      <c r="B243" t="s">
        <v>2314</v>
      </c>
      <c r="C243">
        <v>25</v>
      </c>
      <c r="Z243">
        <v>0</v>
      </c>
    </row>
    <row r="244" spans="1:26" x14ac:dyDescent="0.25">
      <c r="A244">
        <v>73402870154</v>
      </c>
      <c r="B244" t="s">
        <v>2319</v>
      </c>
      <c r="C244">
        <v>25</v>
      </c>
      <c r="Z244">
        <v>0</v>
      </c>
    </row>
    <row r="245" spans="1:26" x14ac:dyDescent="0.25">
      <c r="A245">
        <v>73418185042</v>
      </c>
      <c r="B245" t="s">
        <v>2322</v>
      </c>
      <c r="C245">
        <v>24.090909</v>
      </c>
      <c r="Z245">
        <v>0</v>
      </c>
    </row>
    <row r="246" spans="1:26" x14ac:dyDescent="0.25">
      <c r="A246">
        <v>73403215172</v>
      </c>
      <c r="B246" t="s">
        <v>2328</v>
      </c>
      <c r="C246">
        <v>22.727271999999999</v>
      </c>
      <c r="Z246">
        <v>0</v>
      </c>
    </row>
    <row r="247" spans="1:26" x14ac:dyDescent="0.25">
      <c r="A247">
        <v>73455804310</v>
      </c>
      <c r="B247" t="s">
        <v>2334</v>
      </c>
      <c r="C247">
        <v>24.545453999999999</v>
      </c>
      <c r="Z247">
        <v>0</v>
      </c>
    </row>
    <row r="248" spans="1:26" x14ac:dyDescent="0.25">
      <c r="A248">
        <v>73368090786</v>
      </c>
      <c r="B248" t="s">
        <v>2339</v>
      </c>
      <c r="C248">
        <v>25</v>
      </c>
      <c r="Z248">
        <v>0</v>
      </c>
    </row>
    <row r="249" spans="1:26" x14ac:dyDescent="0.25">
      <c r="A249">
        <v>73403341463</v>
      </c>
      <c r="B249" t="s">
        <v>2344</v>
      </c>
      <c r="C249">
        <v>25</v>
      </c>
      <c r="Z249">
        <v>0</v>
      </c>
    </row>
    <row r="250" spans="1:26" x14ac:dyDescent="0.25">
      <c r="A250">
        <v>73403549050</v>
      </c>
      <c r="B250" t="s">
        <v>2348</v>
      </c>
      <c r="C250">
        <v>25</v>
      </c>
      <c r="Z250">
        <v>0</v>
      </c>
    </row>
    <row r="251" spans="1:26" x14ac:dyDescent="0.25">
      <c r="A251">
        <v>73403556636</v>
      </c>
      <c r="B251" t="s">
        <v>2354</v>
      </c>
      <c r="C251">
        <v>24.545453999999999</v>
      </c>
      <c r="Z251">
        <v>0</v>
      </c>
    </row>
    <row r="252" spans="1:26" x14ac:dyDescent="0.25">
      <c r="A252">
        <v>73515823299</v>
      </c>
      <c r="B252" t="s">
        <v>2357</v>
      </c>
      <c r="C252">
        <v>25</v>
      </c>
      <c r="Z252">
        <v>0</v>
      </c>
    </row>
  </sheetData>
  <sortState xmlns:xlrd2="http://schemas.microsoft.com/office/spreadsheetml/2017/richdata2" ref="A2:AI252">
    <sortCondition ref="B2"/>
  </sortState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45D23-7E59-4833-A2F3-22FD4B18B12B}">
  <sheetPr codeName="Munka14"/>
  <dimension ref="A1:F1"/>
  <sheetViews>
    <sheetView workbookViewId="0">
      <selection activeCell="J27" sqref="J27"/>
    </sheetView>
  </sheetViews>
  <sheetFormatPr defaultRowHeight="15" x14ac:dyDescent="0.25"/>
  <cols>
    <col min="2" max="2" width="34.42578125" bestFit="1" customWidth="1"/>
  </cols>
  <sheetData>
    <row r="1" spans="1:6" x14ac:dyDescent="0.25">
      <c r="A1" t="s">
        <v>2423</v>
      </c>
      <c r="B1" t="s">
        <v>2424</v>
      </c>
      <c r="C1" t="s">
        <v>2428</v>
      </c>
      <c r="D1" t="s">
        <v>2425</v>
      </c>
      <c r="E1" t="s">
        <v>2426</v>
      </c>
      <c r="F1" t="s">
        <v>2427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F6206-332A-40B5-B40C-46E6F0042A9B}">
  <sheetPr codeName="Munka15"/>
  <dimension ref="A1:G321"/>
  <sheetViews>
    <sheetView topLeftCell="A28" workbookViewId="0">
      <selection activeCell="A2" sqref="A2"/>
    </sheetView>
  </sheetViews>
  <sheetFormatPr defaultRowHeight="15" x14ac:dyDescent="0.25"/>
  <cols>
    <col min="2" max="2" width="34.42578125" bestFit="1" customWidth="1"/>
    <col min="4" max="4" width="27.42578125" customWidth="1"/>
    <col min="5" max="5" width="75.42578125" bestFit="1" customWidth="1"/>
    <col min="6" max="6" width="14.42578125" bestFit="1" customWidth="1"/>
  </cols>
  <sheetData>
    <row r="1" spans="1:7" x14ac:dyDescent="0.25">
      <c r="A1" t="s">
        <v>2423</v>
      </c>
      <c r="B1" t="s">
        <v>2424</v>
      </c>
      <c r="C1" t="s">
        <v>2428</v>
      </c>
      <c r="D1" t="s">
        <v>2429</v>
      </c>
      <c r="E1" t="s">
        <v>2430</v>
      </c>
      <c r="F1" t="s">
        <v>2427</v>
      </c>
      <c r="G1" t="s">
        <v>2431</v>
      </c>
    </row>
    <row r="2" spans="1:7" x14ac:dyDescent="0.25">
      <c r="A2">
        <v>50</v>
      </c>
      <c r="B2" t="s">
        <v>1399</v>
      </c>
      <c r="C2">
        <v>221</v>
      </c>
      <c r="D2" t="s">
        <v>2641</v>
      </c>
      <c r="E2" t="s">
        <v>2642</v>
      </c>
      <c r="F2" s="24">
        <v>46084.341273148151</v>
      </c>
      <c r="G2" t="s">
        <v>2436</v>
      </c>
    </row>
    <row r="3" spans="1:7" x14ac:dyDescent="0.25">
      <c r="A3">
        <v>61</v>
      </c>
      <c r="B3" t="s">
        <v>1446</v>
      </c>
      <c r="C3">
        <v>222</v>
      </c>
      <c r="D3" t="s">
        <v>2641</v>
      </c>
      <c r="E3" t="s">
        <v>2642</v>
      </c>
      <c r="F3" s="24">
        <v>46084.341273148151</v>
      </c>
      <c r="G3" t="s">
        <v>2436</v>
      </c>
    </row>
    <row r="4" spans="1:7" x14ac:dyDescent="0.25">
      <c r="A4">
        <v>80</v>
      </c>
      <c r="B4" t="s">
        <v>1534</v>
      </c>
      <c r="C4">
        <v>223</v>
      </c>
      <c r="D4" t="s">
        <v>2641</v>
      </c>
      <c r="E4" t="s">
        <v>2642</v>
      </c>
      <c r="F4" s="24">
        <v>46084.341273148151</v>
      </c>
      <c r="G4" t="s">
        <v>2436</v>
      </c>
    </row>
    <row r="5" spans="1:7" x14ac:dyDescent="0.25">
      <c r="A5">
        <v>82</v>
      </c>
      <c r="B5" t="s">
        <v>1542</v>
      </c>
      <c r="C5">
        <v>224</v>
      </c>
      <c r="D5" t="s">
        <v>2641</v>
      </c>
      <c r="E5" t="s">
        <v>2642</v>
      </c>
      <c r="F5" s="24">
        <v>46084.341273148151</v>
      </c>
      <c r="G5" t="s">
        <v>2436</v>
      </c>
    </row>
    <row r="6" spans="1:7" x14ac:dyDescent="0.25">
      <c r="A6">
        <v>95</v>
      </c>
      <c r="B6" t="s">
        <v>1602</v>
      </c>
      <c r="C6">
        <v>225</v>
      </c>
      <c r="D6" t="s">
        <v>2641</v>
      </c>
      <c r="E6" t="s">
        <v>2642</v>
      </c>
      <c r="F6" s="24">
        <v>46084.341273148151</v>
      </c>
      <c r="G6" t="s">
        <v>2436</v>
      </c>
    </row>
    <row r="7" spans="1:7" x14ac:dyDescent="0.25">
      <c r="A7">
        <v>99</v>
      </c>
      <c r="B7" t="s">
        <v>1623</v>
      </c>
      <c r="C7">
        <v>226</v>
      </c>
      <c r="D7" t="s">
        <v>2641</v>
      </c>
      <c r="E7" t="s">
        <v>2642</v>
      </c>
      <c r="F7" s="24">
        <v>46084.341273148151</v>
      </c>
      <c r="G7" t="s">
        <v>2436</v>
      </c>
    </row>
    <row r="8" spans="1:7" x14ac:dyDescent="0.25">
      <c r="A8">
        <v>106</v>
      </c>
      <c r="B8" t="s">
        <v>1655</v>
      </c>
      <c r="C8">
        <v>227</v>
      </c>
      <c r="D8" t="s">
        <v>2641</v>
      </c>
      <c r="E8" t="s">
        <v>2642</v>
      </c>
      <c r="F8" s="24">
        <v>46084.341273148151</v>
      </c>
      <c r="G8" t="s">
        <v>2436</v>
      </c>
    </row>
    <row r="9" spans="1:7" x14ac:dyDescent="0.25">
      <c r="A9">
        <v>119</v>
      </c>
      <c r="B9" t="s">
        <v>1714</v>
      </c>
      <c r="C9">
        <v>228</v>
      </c>
      <c r="D9" t="s">
        <v>2641</v>
      </c>
      <c r="E9" t="s">
        <v>2642</v>
      </c>
      <c r="F9" s="24">
        <v>46084.341273148151</v>
      </c>
      <c r="G9" t="s">
        <v>2436</v>
      </c>
    </row>
    <row r="10" spans="1:7" x14ac:dyDescent="0.25">
      <c r="A10">
        <v>137</v>
      </c>
      <c r="B10" t="s">
        <v>1802</v>
      </c>
      <c r="C10">
        <v>229</v>
      </c>
      <c r="D10" t="s">
        <v>2641</v>
      </c>
      <c r="E10" t="s">
        <v>2642</v>
      </c>
      <c r="F10" s="24">
        <v>46084.341273148151</v>
      </c>
      <c r="G10" t="s">
        <v>2436</v>
      </c>
    </row>
    <row r="11" spans="1:7" x14ac:dyDescent="0.25">
      <c r="A11">
        <v>145</v>
      </c>
      <c r="B11" t="s">
        <v>1842</v>
      </c>
      <c r="C11">
        <v>230</v>
      </c>
      <c r="D11" t="s">
        <v>2641</v>
      </c>
      <c r="E11" t="s">
        <v>2642</v>
      </c>
      <c r="F11" s="24">
        <v>46084.341273148151</v>
      </c>
      <c r="G11" t="s">
        <v>2436</v>
      </c>
    </row>
    <row r="12" spans="1:7" x14ac:dyDescent="0.25">
      <c r="A12">
        <v>146</v>
      </c>
      <c r="B12" t="s">
        <v>1848</v>
      </c>
      <c r="C12">
        <v>231</v>
      </c>
      <c r="D12" t="s">
        <v>2641</v>
      </c>
      <c r="E12" t="s">
        <v>2642</v>
      </c>
      <c r="F12" s="24">
        <v>46084.341273148151</v>
      </c>
      <c r="G12" t="s">
        <v>2436</v>
      </c>
    </row>
    <row r="13" spans="1:7" x14ac:dyDescent="0.25">
      <c r="A13">
        <v>154</v>
      </c>
      <c r="B13" t="s">
        <v>1889</v>
      </c>
      <c r="C13">
        <v>232</v>
      </c>
      <c r="D13" t="s">
        <v>2641</v>
      </c>
      <c r="E13" t="s">
        <v>2642</v>
      </c>
      <c r="F13" s="24">
        <v>46084.341273148151</v>
      </c>
      <c r="G13" t="s">
        <v>2436</v>
      </c>
    </row>
    <row r="14" spans="1:7" x14ac:dyDescent="0.25">
      <c r="A14">
        <v>161</v>
      </c>
      <c r="B14" t="s">
        <v>2420</v>
      </c>
      <c r="C14">
        <v>233</v>
      </c>
      <c r="D14" t="s">
        <v>2641</v>
      </c>
      <c r="E14" t="s">
        <v>2642</v>
      </c>
      <c r="F14" s="24">
        <v>46084.341273148151</v>
      </c>
      <c r="G14" t="s">
        <v>2436</v>
      </c>
    </row>
    <row r="15" spans="1:7" x14ac:dyDescent="0.25">
      <c r="A15">
        <v>172</v>
      </c>
      <c r="B15" t="s">
        <v>1976</v>
      </c>
      <c r="C15">
        <v>234</v>
      </c>
      <c r="D15" t="s">
        <v>2641</v>
      </c>
      <c r="E15" t="s">
        <v>2642</v>
      </c>
      <c r="F15" s="24">
        <v>46084.341273148151</v>
      </c>
      <c r="G15" t="s">
        <v>2436</v>
      </c>
    </row>
    <row r="16" spans="1:7" x14ac:dyDescent="0.25">
      <c r="A16">
        <v>180</v>
      </c>
      <c r="B16" t="s">
        <v>2015</v>
      </c>
      <c r="C16">
        <v>235</v>
      </c>
      <c r="D16" t="s">
        <v>2641</v>
      </c>
      <c r="E16" t="s">
        <v>2642</v>
      </c>
      <c r="F16" s="24">
        <v>46084.341284722221</v>
      </c>
      <c r="G16" t="s">
        <v>2436</v>
      </c>
    </row>
    <row r="17" spans="1:7" x14ac:dyDescent="0.25">
      <c r="A17">
        <v>183</v>
      </c>
      <c r="B17" t="s">
        <v>2031</v>
      </c>
      <c r="C17">
        <v>236</v>
      </c>
      <c r="D17" t="s">
        <v>2641</v>
      </c>
      <c r="E17" t="s">
        <v>2642</v>
      </c>
      <c r="F17" s="24">
        <v>46084.341284722221</v>
      </c>
      <c r="G17" t="s">
        <v>2436</v>
      </c>
    </row>
    <row r="18" spans="1:7" x14ac:dyDescent="0.25">
      <c r="A18">
        <v>227</v>
      </c>
      <c r="B18" t="s">
        <v>2422</v>
      </c>
      <c r="C18">
        <v>237</v>
      </c>
      <c r="D18" t="s">
        <v>2641</v>
      </c>
      <c r="E18" t="s">
        <v>2642</v>
      </c>
      <c r="F18" s="24">
        <v>46084.341284722221</v>
      </c>
      <c r="G18" t="s">
        <v>2436</v>
      </c>
    </row>
    <row r="19" spans="1:7" x14ac:dyDescent="0.25">
      <c r="A19">
        <v>0</v>
      </c>
      <c r="D19" t="s">
        <v>2437</v>
      </c>
      <c r="E19" t="s">
        <v>2438</v>
      </c>
      <c r="F19" s="24">
        <v>46084.34138888889</v>
      </c>
      <c r="G19" t="s">
        <v>2436</v>
      </c>
    </row>
    <row r="20" spans="1:7" x14ac:dyDescent="0.25">
      <c r="A20">
        <v>50</v>
      </c>
      <c r="B20" t="s">
        <v>1399</v>
      </c>
      <c r="C20">
        <v>221</v>
      </c>
      <c r="D20" t="s">
        <v>2439</v>
      </c>
      <c r="E20" t="s">
        <v>2643</v>
      </c>
      <c r="F20" s="24">
        <v>46084.341400462959</v>
      </c>
      <c r="G20" t="s">
        <v>2436</v>
      </c>
    </row>
    <row r="21" spans="1:7" x14ac:dyDescent="0.25">
      <c r="A21">
        <v>50</v>
      </c>
      <c r="B21" t="s">
        <v>1399</v>
      </c>
      <c r="C21">
        <v>221</v>
      </c>
      <c r="D21" t="s">
        <v>2440</v>
      </c>
      <c r="E21" t="s">
        <v>2441</v>
      </c>
      <c r="F21" s="24">
        <v>46084.341400462959</v>
      </c>
      <c r="G21" t="s">
        <v>2436</v>
      </c>
    </row>
    <row r="22" spans="1:7" x14ac:dyDescent="0.25">
      <c r="A22">
        <v>50</v>
      </c>
      <c r="B22" t="s">
        <v>1399</v>
      </c>
      <c r="C22">
        <v>221</v>
      </c>
      <c r="D22" t="s">
        <v>2442</v>
      </c>
      <c r="E22" t="s">
        <v>2443</v>
      </c>
      <c r="F22" s="24">
        <v>46084.341400462959</v>
      </c>
      <c r="G22" t="s">
        <v>2436</v>
      </c>
    </row>
    <row r="23" spans="1:7" x14ac:dyDescent="0.25">
      <c r="A23">
        <v>50</v>
      </c>
      <c r="B23" t="s">
        <v>1399</v>
      </c>
      <c r="C23">
        <v>221</v>
      </c>
      <c r="D23" t="s">
        <v>2444</v>
      </c>
      <c r="E23" t="s">
        <v>2441</v>
      </c>
      <c r="F23" s="24">
        <v>46084.341400462959</v>
      </c>
      <c r="G23" t="s">
        <v>2436</v>
      </c>
    </row>
    <row r="24" spans="1:7" x14ac:dyDescent="0.25">
      <c r="A24">
        <v>50</v>
      </c>
      <c r="B24" t="s">
        <v>1399</v>
      </c>
      <c r="C24">
        <v>221</v>
      </c>
      <c r="D24" t="s">
        <v>2445</v>
      </c>
      <c r="E24" t="s">
        <v>2446</v>
      </c>
      <c r="F24" s="24">
        <v>46084.341400462959</v>
      </c>
      <c r="G24" t="s">
        <v>2436</v>
      </c>
    </row>
    <row r="25" spans="1:7" x14ac:dyDescent="0.25">
      <c r="A25">
        <v>50</v>
      </c>
      <c r="B25" t="s">
        <v>1399</v>
      </c>
      <c r="C25">
        <v>221</v>
      </c>
      <c r="D25" t="s">
        <v>2447</v>
      </c>
      <c r="E25" t="s">
        <v>2446</v>
      </c>
      <c r="F25" s="24">
        <v>46084.341400462959</v>
      </c>
      <c r="G25" t="s">
        <v>2436</v>
      </c>
    </row>
    <row r="26" spans="1:7" x14ac:dyDescent="0.25">
      <c r="A26">
        <v>50</v>
      </c>
      <c r="B26" t="s">
        <v>1399</v>
      </c>
      <c r="C26">
        <v>221</v>
      </c>
      <c r="D26" t="s">
        <v>2448</v>
      </c>
      <c r="E26" t="s">
        <v>2441</v>
      </c>
      <c r="F26" s="24">
        <v>46084.341412037036</v>
      </c>
      <c r="G26" t="s">
        <v>2436</v>
      </c>
    </row>
    <row r="27" spans="1:7" x14ac:dyDescent="0.25">
      <c r="A27">
        <v>61</v>
      </c>
      <c r="B27" t="s">
        <v>1446</v>
      </c>
      <c r="C27">
        <v>222</v>
      </c>
      <c r="D27" t="s">
        <v>2439</v>
      </c>
      <c r="E27" t="s">
        <v>2644</v>
      </c>
      <c r="F27" s="24">
        <v>46084.341412037036</v>
      </c>
      <c r="G27" t="s">
        <v>2436</v>
      </c>
    </row>
    <row r="28" spans="1:7" x14ac:dyDescent="0.25">
      <c r="A28">
        <v>61</v>
      </c>
      <c r="B28" t="s">
        <v>1446</v>
      </c>
      <c r="C28">
        <v>222</v>
      </c>
      <c r="D28" t="s">
        <v>2440</v>
      </c>
      <c r="E28" t="s">
        <v>2441</v>
      </c>
      <c r="F28" s="24">
        <v>46084.341412037036</v>
      </c>
      <c r="G28" t="s">
        <v>2436</v>
      </c>
    </row>
    <row r="29" spans="1:7" x14ac:dyDescent="0.25">
      <c r="A29">
        <v>61</v>
      </c>
      <c r="B29" t="s">
        <v>1446</v>
      </c>
      <c r="C29">
        <v>222</v>
      </c>
      <c r="D29" t="s">
        <v>2442</v>
      </c>
      <c r="E29" t="s">
        <v>2443</v>
      </c>
      <c r="F29" s="24">
        <v>46084.341412037036</v>
      </c>
      <c r="G29" t="s">
        <v>2436</v>
      </c>
    </row>
    <row r="30" spans="1:7" x14ac:dyDescent="0.25">
      <c r="A30">
        <v>61</v>
      </c>
      <c r="B30" t="s">
        <v>1446</v>
      </c>
      <c r="C30">
        <v>222</v>
      </c>
      <c r="D30" t="s">
        <v>2444</v>
      </c>
      <c r="E30" t="s">
        <v>2441</v>
      </c>
      <c r="F30" s="24">
        <v>46084.341412037036</v>
      </c>
      <c r="G30" t="s">
        <v>2436</v>
      </c>
    </row>
    <row r="31" spans="1:7" x14ac:dyDescent="0.25">
      <c r="A31">
        <v>61</v>
      </c>
      <c r="B31" t="s">
        <v>1446</v>
      </c>
      <c r="C31">
        <v>222</v>
      </c>
      <c r="D31" t="s">
        <v>2445</v>
      </c>
      <c r="E31" t="s">
        <v>2446</v>
      </c>
      <c r="F31" s="24">
        <v>46084.341412037036</v>
      </c>
      <c r="G31" t="s">
        <v>2436</v>
      </c>
    </row>
    <row r="32" spans="1:7" x14ac:dyDescent="0.25">
      <c r="A32">
        <v>61</v>
      </c>
      <c r="B32" t="s">
        <v>1446</v>
      </c>
      <c r="C32">
        <v>222</v>
      </c>
      <c r="D32" t="s">
        <v>2447</v>
      </c>
      <c r="E32" t="s">
        <v>2446</v>
      </c>
      <c r="F32" s="24">
        <v>46084.341412037036</v>
      </c>
      <c r="G32" t="s">
        <v>2436</v>
      </c>
    </row>
    <row r="33" spans="1:7" x14ac:dyDescent="0.25">
      <c r="A33">
        <v>61</v>
      </c>
      <c r="B33" t="s">
        <v>1446</v>
      </c>
      <c r="C33">
        <v>222</v>
      </c>
      <c r="D33" t="s">
        <v>2448</v>
      </c>
      <c r="E33" t="s">
        <v>2441</v>
      </c>
      <c r="F33" s="24">
        <v>46084.341423611113</v>
      </c>
      <c r="G33" t="s">
        <v>2436</v>
      </c>
    </row>
    <row r="34" spans="1:7" x14ac:dyDescent="0.25">
      <c r="A34">
        <v>80</v>
      </c>
      <c r="B34" t="s">
        <v>1534</v>
      </c>
      <c r="C34">
        <v>223</v>
      </c>
      <c r="D34" t="s">
        <v>2439</v>
      </c>
      <c r="E34" t="s">
        <v>2645</v>
      </c>
      <c r="F34" s="24">
        <v>46084.341423611113</v>
      </c>
      <c r="G34" t="s">
        <v>2436</v>
      </c>
    </row>
    <row r="35" spans="1:7" x14ac:dyDescent="0.25">
      <c r="A35">
        <v>80</v>
      </c>
      <c r="B35" t="s">
        <v>1534</v>
      </c>
      <c r="C35">
        <v>223</v>
      </c>
      <c r="D35" t="s">
        <v>2440</v>
      </c>
      <c r="E35" t="s">
        <v>2441</v>
      </c>
      <c r="F35" s="24">
        <v>46084.341423611113</v>
      </c>
      <c r="G35" t="s">
        <v>2436</v>
      </c>
    </row>
    <row r="36" spans="1:7" x14ac:dyDescent="0.25">
      <c r="A36">
        <v>80</v>
      </c>
      <c r="B36" t="s">
        <v>1534</v>
      </c>
      <c r="C36">
        <v>223</v>
      </c>
      <c r="D36" t="s">
        <v>2442</v>
      </c>
      <c r="E36" t="s">
        <v>2443</v>
      </c>
      <c r="F36" s="24">
        <v>46084.341423611113</v>
      </c>
      <c r="G36" t="s">
        <v>2436</v>
      </c>
    </row>
    <row r="37" spans="1:7" x14ac:dyDescent="0.25">
      <c r="A37">
        <v>80</v>
      </c>
      <c r="B37" t="s">
        <v>1534</v>
      </c>
      <c r="C37">
        <v>223</v>
      </c>
      <c r="D37" t="s">
        <v>2444</v>
      </c>
      <c r="E37" t="s">
        <v>2441</v>
      </c>
      <c r="F37" s="24">
        <v>46084.341423611113</v>
      </c>
      <c r="G37" t="s">
        <v>2436</v>
      </c>
    </row>
    <row r="38" spans="1:7" x14ac:dyDescent="0.25">
      <c r="A38">
        <v>80</v>
      </c>
      <c r="B38" t="s">
        <v>1534</v>
      </c>
      <c r="C38">
        <v>223</v>
      </c>
      <c r="D38" t="s">
        <v>2445</v>
      </c>
      <c r="E38" t="s">
        <v>2446</v>
      </c>
      <c r="F38" s="24">
        <v>46084.341423611113</v>
      </c>
      <c r="G38" t="s">
        <v>2436</v>
      </c>
    </row>
    <row r="39" spans="1:7" x14ac:dyDescent="0.25">
      <c r="A39">
        <v>80</v>
      </c>
      <c r="B39" t="s">
        <v>1534</v>
      </c>
      <c r="C39">
        <v>223</v>
      </c>
      <c r="D39" t="s">
        <v>2447</v>
      </c>
      <c r="E39" t="s">
        <v>2446</v>
      </c>
      <c r="F39" s="24">
        <v>46084.341423611113</v>
      </c>
      <c r="G39" t="s">
        <v>2436</v>
      </c>
    </row>
    <row r="40" spans="1:7" x14ac:dyDescent="0.25">
      <c r="A40">
        <v>80</v>
      </c>
      <c r="B40" t="s">
        <v>1534</v>
      </c>
      <c r="C40">
        <v>223</v>
      </c>
      <c r="D40" t="s">
        <v>2448</v>
      </c>
      <c r="E40" t="s">
        <v>2441</v>
      </c>
      <c r="F40" s="24">
        <v>46084.341435185182</v>
      </c>
      <c r="G40" t="s">
        <v>2436</v>
      </c>
    </row>
    <row r="41" spans="1:7" x14ac:dyDescent="0.25">
      <c r="A41">
        <v>82</v>
      </c>
      <c r="B41" t="s">
        <v>1542</v>
      </c>
      <c r="C41">
        <v>224</v>
      </c>
      <c r="D41" t="s">
        <v>2439</v>
      </c>
      <c r="E41" t="s">
        <v>2646</v>
      </c>
      <c r="F41" s="24">
        <v>46084.341435185182</v>
      </c>
      <c r="G41" t="s">
        <v>2436</v>
      </c>
    </row>
    <row r="42" spans="1:7" x14ac:dyDescent="0.25">
      <c r="A42">
        <v>82</v>
      </c>
      <c r="B42" t="s">
        <v>1542</v>
      </c>
      <c r="C42">
        <v>224</v>
      </c>
      <c r="D42" t="s">
        <v>2440</v>
      </c>
      <c r="E42" t="s">
        <v>2441</v>
      </c>
      <c r="F42" s="24">
        <v>46084.341435185182</v>
      </c>
      <c r="G42" t="s">
        <v>2436</v>
      </c>
    </row>
    <row r="43" spans="1:7" x14ac:dyDescent="0.25">
      <c r="A43">
        <v>82</v>
      </c>
      <c r="B43" t="s">
        <v>1542</v>
      </c>
      <c r="C43">
        <v>224</v>
      </c>
      <c r="D43" t="s">
        <v>2442</v>
      </c>
      <c r="E43" t="s">
        <v>2443</v>
      </c>
      <c r="F43" s="24">
        <v>46084.341435185182</v>
      </c>
      <c r="G43" t="s">
        <v>2436</v>
      </c>
    </row>
    <row r="44" spans="1:7" x14ac:dyDescent="0.25">
      <c r="A44">
        <v>82</v>
      </c>
      <c r="B44" t="s">
        <v>1542</v>
      </c>
      <c r="C44">
        <v>224</v>
      </c>
      <c r="D44" t="s">
        <v>2444</v>
      </c>
      <c r="E44" t="s">
        <v>2441</v>
      </c>
      <c r="F44" s="24">
        <v>46084.341435185182</v>
      </c>
      <c r="G44" t="s">
        <v>2436</v>
      </c>
    </row>
    <row r="45" spans="1:7" x14ac:dyDescent="0.25">
      <c r="A45">
        <v>82</v>
      </c>
      <c r="B45" t="s">
        <v>1542</v>
      </c>
      <c r="C45">
        <v>224</v>
      </c>
      <c r="D45" t="s">
        <v>2445</v>
      </c>
      <c r="E45" t="s">
        <v>2446</v>
      </c>
      <c r="F45" s="24">
        <v>46084.341435185182</v>
      </c>
      <c r="G45" t="s">
        <v>2436</v>
      </c>
    </row>
    <row r="46" spans="1:7" x14ac:dyDescent="0.25">
      <c r="A46">
        <v>82</v>
      </c>
      <c r="B46" t="s">
        <v>1542</v>
      </c>
      <c r="C46">
        <v>224</v>
      </c>
      <c r="D46" t="s">
        <v>2447</v>
      </c>
      <c r="E46" t="s">
        <v>2446</v>
      </c>
      <c r="F46" s="24">
        <v>46084.341435185182</v>
      </c>
      <c r="G46" t="s">
        <v>2436</v>
      </c>
    </row>
    <row r="47" spans="1:7" x14ac:dyDescent="0.25">
      <c r="A47">
        <v>82</v>
      </c>
      <c r="B47" t="s">
        <v>1542</v>
      </c>
      <c r="C47">
        <v>224</v>
      </c>
      <c r="D47" t="s">
        <v>2448</v>
      </c>
      <c r="E47" t="s">
        <v>2441</v>
      </c>
      <c r="F47" s="24">
        <v>46084.341446759259</v>
      </c>
      <c r="G47" t="s">
        <v>2436</v>
      </c>
    </row>
    <row r="48" spans="1:7" x14ac:dyDescent="0.25">
      <c r="A48">
        <v>95</v>
      </c>
      <c r="B48" t="s">
        <v>1602</v>
      </c>
      <c r="C48">
        <v>225</v>
      </c>
      <c r="D48" t="s">
        <v>2439</v>
      </c>
      <c r="E48" t="s">
        <v>2647</v>
      </c>
      <c r="F48" s="24">
        <v>46084.341446759259</v>
      </c>
      <c r="G48" t="s">
        <v>2436</v>
      </c>
    </row>
    <row r="49" spans="1:7" x14ac:dyDescent="0.25">
      <c r="A49">
        <v>95</v>
      </c>
      <c r="B49" t="s">
        <v>1602</v>
      </c>
      <c r="C49">
        <v>225</v>
      </c>
      <c r="D49" t="s">
        <v>2440</v>
      </c>
      <c r="E49" t="s">
        <v>2441</v>
      </c>
      <c r="F49" s="24">
        <v>46084.341446759259</v>
      </c>
      <c r="G49" t="s">
        <v>2436</v>
      </c>
    </row>
    <row r="50" spans="1:7" x14ac:dyDescent="0.25">
      <c r="A50">
        <v>95</v>
      </c>
      <c r="B50" t="s">
        <v>1602</v>
      </c>
      <c r="C50">
        <v>225</v>
      </c>
      <c r="D50" t="s">
        <v>2442</v>
      </c>
      <c r="E50" t="s">
        <v>2443</v>
      </c>
      <c r="F50" s="24">
        <v>46084.341446759259</v>
      </c>
      <c r="G50" t="s">
        <v>2436</v>
      </c>
    </row>
    <row r="51" spans="1:7" x14ac:dyDescent="0.25">
      <c r="A51">
        <v>95</v>
      </c>
      <c r="B51" t="s">
        <v>1602</v>
      </c>
      <c r="C51">
        <v>225</v>
      </c>
      <c r="D51" t="s">
        <v>2444</v>
      </c>
      <c r="E51" t="s">
        <v>2441</v>
      </c>
      <c r="F51" s="24">
        <v>46084.341446759259</v>
      </c>
      <c r="G51" t="s">
        <v>2436</v>
      </c>
    </row>
    <row r="52" spans="1:7" x14ac:dyDescent="0.25">
      <c r="A52">
        <v>95</v>
      </c>
      <c r="B52" t="s">
        <v>1602</v>
      </c>
      <c r="C52">
        <v>225</v>
      </c>
      <c r="D52" t="s">
        <v>2445</v>
      </c>
      <c r="E52" t="s">
        <v>2446</v>
      </c>
      <c r="F52" s="24">
        <v>46084.341446759259</v>
      </c>
      <c r="G52" t="s">
        <v>2436</v>
      </c>
    </row>
    <row r="53" spans="1:7" x14ac:dyDescent="0.25">
      <c r="A53">
        <v>95</v>
      </c>
      <c r="B53" t="s">
        <v>1602</v>
      </c>
      <c r="C53">
        <v>225</v>
      </c>
      <c r="D53" t="s">
        <v>2447</v>
      </c>
      <c r="E53" t="s">
        <v>2446</v>
      </c>
      <c r="F53" s="24">
        <v>46084.341446759259</v>
      </c>
      <c r="G53" t="s">
        <v>2436</v>
      </c>
    </row>
    <row r="54" spans="1:7" x14ac:dyDescent="0.25">
      <c r="A54">
        <v>95</v>
      </c>
      <c r="B54" t="s">
        <v>1602</v>
      </c>
      <c r="C54">
        <v>225</v>
      </c>
      <c r="D54" t="s">
        <v>2448</v>
      </c>
      <c r="E54" t="s">
        <v>2441</v>
      </c>
      <c r="F54" s="24">
        <v>46084.341458333336</v>
      </c>
      <c r="G54" t="s">
        <v>2436</v>
      </c>
    </row>
    <row r="55" spans="1:7" x14ac:dyDescent="0.25">
      <c r="A55">
        <v>99</v>
      </c>
      <c r="B55" t="s">
        <v>1623</v>
      </c>
      <c r="C55">
        <v>226</v>
      </c>
      <c r="D55" t="s">
        <v>2439</v>
      </c>
      <c r="E55" t="s">
        <v>2648</v>
      </c>
      <c r="F55" s="24">
        <v>46084.341458333336</v>
      </c>
      <c r="G55" t="s">
        <v>2436</v>
      </c>
    </row>
    <row r="56" spans="1:7" x14ac:dyDescent="0.25">
      <c r="A56">
        <v>99</v>
      </c>
      <c r="B56" t="s">
        <v>1623</v>
      </c>
      <c r="C56">
        <v>226</v>
      </c>
      <c r="D56" t="s">
        <v>2440</v>
      </c>
      <c r="E56" t="s">
        <v>2441</v>
      </c>
      <c r="F56" s="24">
        <v>46084.341458333336</v>
      </c>
      <c r="G56" t="s">
        <v>2436</v>
      </c>
    </row>
    <row r="57" spans="1:7" x14ac:dyDescent="0.25">
      <c r="A57">
        <v>99</v>
      </c>
      <c r="B57" t="s">
        <v>1623</v>
      </c>
      <c r="C57">
        <v>226</v>
      </c>
      <c r="D57" t="s">
        <v>2442</v>
      </c>
      <c r="E57" t="s">
        <v>2443</v>
      </c>
      <c r="F57" s="24">
        <v>46084.341458333336</v>
      </c>
      <c r="G57" t="s">
        <v>2436</v>
      </c>
    </row>
    <row r="58" spans="1:7" x14ac:dyDescent="0.25">
      <c r="A58">
        <v>99</v>
      </c>
      <c r="B58" t="s">
        <v>1623</v>
      </c>
      <c r="C58">
        <v>226</v>
      </c>
      <c r="D58" t="s">
        <v>2444</v>
      </c>
      <c r="E58" t="s">
        <v>2441</v>
      </c>
      <c r="F58" s="24">
        <v>46084.341458333336</v>
      </c>
      <c r="G58" t="s">
        <v>2436</v>
      </c>
    </row>
    <row r="59" spans="1:7" x14ac:dyDescent="0.25">
      <c r="A59">
        <v>99</v>
      </c>
      <c r="B59" t="s">
        <v>1623</v>
      </c>
      <c r="C59">
        <v>226</v>
      </c>
      <c r="D59" t="s">
        <v>2445</v>
      </c>
      <c r="E59" t="s">
        <v>2446</v>
      </c>
      <c r="F59" s="24">
        <v>46084.341458333336</v>
      </c>
      <c r="G59" t="s">
        <v>2436</v>
      </c>
    </row>
    <row r="60" spans="1:7" x14ac:dyDescent="0.25">
      <c r="A60">
        <v>99</v>
      </c>
      <c r="B60" t="s">
        <v>1623</v>
      </c>
      <c r="C60">
        <v>226</v>
      </c>
      <c r="D60" t="s">
        <v>2447</v>
      </c>
      <c r="E60" t="s">
        <v>2446</v>
      </c>
      <c r="F60" s="24">
        <v>46084.341458333336</v>
      </c>
      <c r="G60" t="s">
        <v>2436</v>
      </c>
    </row>
    <row r="61" spans="1:7" x14ac:dyDescent="0.25">
      <c r="A61">
        <v>99</v>
      </c>
      <c r="B61" t="s">
        <v>1623</v>
      </c>
      <c r="C61">
        <v>226</v>
      </c>
      <c r="D61" t="s">
        <v>2448</v>
      </c>
      <c r="E61" t="s">
        <v>2441</v>
      </c>
      <c r="F61" s="24">
        <v>46084.341469907406</v>
      </c>
      <c r="G61" t="s">
        <v>2436</v>
      </c>
    </row>
    <row r="62" spans="1:7" x14ac:dyDescent="0.25">
      <c r="A62">
        <v>106</v>
      </c>
      <c r="B62" t="s">
        <v>1655</v>
      </c>
      <c r="C62">
        <v>227</v>
      </c>
      <c r="D62" t="s">
        <v>2439</v>
      </c>
      <c r="E62" t="s">
        <v>2649</v>
      </c>
      <c r="F62" s="24">
        <v>46084.341469907406</v>
      </c>
      <c r="G62" t="s">
        <v>2436</v>
      </c>
    </row>
    <row r="63" spans="1:7" x14ac:dyDescent="0.25">
      <c r="A63">
        <v>106</v>
      </c>
      <c r="B63" t="s">
        <v>1655</v>
      </c>
      <c r="C63">
        <v>227</v>
      </c>
      <c r="D63" t="s">
        <v>2440</v>
      </c>
      <c r="E63" t="s">
        <v>2441</v>
      </c>
      <c r="F63" s="24">
        <v>46084.341469907406</v>
      </c>
      <c r="G63" t="s">
        <v>2436</v>
      </c>
    </row>
    <row r="64" spans="1:7" x14ac:dyDescent="0.25">
      <c r="A64">
        <v>106</v>
      </c>
      <c r="B64" t="s">
        <v>1655</v>
      </c>
      <c r="C64">
        <v>227</v>
      </c>
      <c r="D64" t="s">
        <v>2442</v>
      </c>
      <c r="E64" t="s">
        <v>2443</v>
      </c>
      <c r="F64" s="24">
        <v>46084.341469907406</v>
      </c>
      <c r="G64" t="s">
        <v>2436</v>
      </c>
    </row>
    <row r="65" spans="1:7" x14ac:dyDescent="0.25">
      <c r="A65">
        <v>106</v>
      </c>
      <c r="B65" t="s">
        <v>1655</v>
      </c>
      <c r="C65">
        <v>227</v>
      </c>
      <c r="D65" t="s">
        <v>2444</v>
      </c>
      <c r="E65" t="s">
        <v>2441</v>
      </c>
      <c r="F65" s="24">
        <v>46084.341469907406</v>
      </c>
      <c r="G65" t="s">
        <v>2436</v>
      </c>
    </row>
    <row r="66" spans="1:7" x14ac:dyDescent="0.25">
      <c r="A66">
        <v>106</v>
      </c>
      <c r="B66" t="s">
        <v>1655</v>
      </c>
      <c r="C66">
        <v>227</v>
      </c>
      <c r="D66" t="s">
        <v>2445</v>
      </c>
      <c r="E66" t="s">
        <v>2446</v>
      </c>
      <c r="F66" s="24">
        <v>46084.341469907406</v>
      </c>
      <c r="G66" t="s">
        <v>2436</v>
      </c>
    </row>
    <row r="67" spans="1:7" x14ac:dyDescent="0.25">
      <c r="A67">
        <v>106</v>
      </c>
      <c r="B67" t="s">
        <v>1655</v>
      </c>
      <c r="C67">
        <v>227</v>
      </c>
      <c r="D67" t="s">
        <v>2447</v>
      </c>
      <c r="E67" t="s">
        <v>2446</v>
      </c>
      <c r="F67" s="24">
        <v>46084.341469907406</v>
      </c>
      <c r="G67" t="s">
        <v>2436</v>
      </c>
    </row>
    <row r="68" spans="1:7" x14ac:dyDescent="0.25">
      <c r="A68">
        <v>106</v>
      </c>
      <c r="B68" t="s">
        <v>1655</v>
      </c>
      <c r="C68">
        <v>227</v>
      </c>
      <c r="D68" t="s">
        <v>2448</v>
      </c>
      <c r="E68" t="s">
        <v>2441</v>
      </c>
      <c r="F68" s="24">
        <v>46084.341481481482</v>
      </c>
      <c r="G68" t="s">
        <v>2436</v>
      </c>
    </row>
    <row r="69" spans="1:7" x14ac:dyDescent="0.25">
      <c r="A69">
        <v>119</v>
      </c>
      <c r="B69" t="s">
        <v>1714</v>
      </c>
      <c r="C69">
        <v>228</v>
      </c>
      <c r="D69" t="s">
        <v>2439</v>
      </c>
      <c r="E69" t="s">
        <v>2650</v>
      </c>
      <c r="F69" s="24">
        <v>46084.341481481482</v>
      </c>
      <c r="G69" t="s">
        <v>2436</v>
      </c>
    </row>
    <row r="70" spans="1:7" x14ac:dyDescent="0.25">
      <c r="A70">
        <v>119</v>
      </c>
      <c r="B70" t="s">
        <v>1714</v>
      </c>
      <c r="C70">
        <v>228</v>
      </c>
      <c r="D70" t="s">
        <v>2440</v>
      </c>
      <c r="E70" t="s">
        <v>2441</v>
      </c>
      <c r="F70" s="24">
        <v>46084.341481481482</v>
      </c>
      <c r="G70" t="s">
        <v>2436</v>
      </c>
    </row>
    <row r="71" spans="1:7" x14ac:dyDescent="0.25">
      <c r="A71">
        <v>119</v>
      </c>
      <c r="B71" t="s">
        <v>1714</v>
      </c>
      <c r="C71">
        <v>228</v>
      </c>
      <c r="D71" t="s">
        <v>2442</v>
      </c>
      <c r="E71" t="s">
        <v>2443</v>
      </c>
      <c r="F71" s="24">
        <v>46084.341481481482</v>
      </c>
      <c r="G71" t="s">
        <v>2436</v>
      </c>
    </row>
    <row r="72" spans="1:7" x14ac:dyDescent="0.25">
      <c r="A72">
        <v>119</v>
      </c>
      <c r="B72" t="s">
        <v>1714</v>
      </c>
      <c r="C72">
        <v>228</v>
      </c>
      <c r="D72" t="s">
        <v>2444</v>
      </c>
      <c r="E72" t="s">
        <v>2441</v>
      </c>
      <c r="F72" s="24">
        <v>46084.341481481482</v>
      </c>
      <c r="G72" t="s">
        <v>2436</v>
      </c>
    </row>
    <row r="73" spans="1:7" x14ac:dyDescent="0.25">
      <c r="A73">
        <v>119</v>
      </c>
      <c r="B73" t="s">
        <v>1714</v>
      </c>
      <c r="C73">
        <v>228</v>
      </c>
      <c r="D73" t="s">
        <v>2445</v>
      </c>
      <c r="E73" t="s">
        <v>2446</v>
      </c>
      <c r="F73" s="24">
        <v>46084.341481481482</v>
      </c>
      <c r="G73" t="s">
        <v>2436</v>
      </c>
    </row>
    <row r="74" spans="1:7" x14ac:dyDescent="0.25">
      <c r="A74">
        <v>119</v>
      </c>
      <c r="B74" t="s">
        <v>1714</v>
      </c>
      <c r="C74">
        <v>228</v>
      </c>
      <c r="D74" t="s">
        <v>2447</v>
      </c>
      <c r="E74" t="s">
        <v>2446</v>
      </c>
      <c r="F74" s="24">
        <v>46084.341481481482</v>
      </c>
      <c r="G74" t="s">
        <v>2436</v>
      </c>
    </row>
    <row r="75" spans="1:7" x14ac:dyDescent="0.25">
      <c r="A75">
        <v>119</v>
      </c>
      <c r="B75" t="s">
        <v>1714</v>
      </c>
      <c r="C75">
        <v>228</v>
      </c>
      <c r="D75" t="s">
        <v>2448</v>
      </c>
      <c r="E75" t="s">
        <v>2441</v>
      </c>
      <c r="F75" s="24">
        <v>46084.341493055559</v>
      </c>
      <c r="G75" t="s">
        <v>2436</v>
      </c>
    </row>
    <row r="76" spans="1:7" x14ac:dyDescent="0.25">
      <c r="A76">
        <v>137</v>
      </c>
      <c r="B76" t="s">
        <v>1802</v>
      </c>
      <c r="C76">
        <v>229</v>
      </c>
      <c r="D76" t="s">
        <v>2439</v>
      </c>
      <c r="E76" t="s">
        <v>2651</v>
      </c>
      <c r="F76" s="24">
        <v>46084.341493055559</v>
      </c>
      <c r="G76" t="s">
        <v>2436</v>
      </c>
    </row>
    <row r="77" spans="1:7" x14ac:dyDescent="0.25">
      <c r="A77">
        <v>137</v>
      </c>
      <c r="B77" t="s">
        <v>1802</v>
      </c>
      <c r="C77">
        <v>229</v>
      </c>
      <c r="D77" t="s">
        <v>2440</v>
      </c>
      <c r="E77" t="s">
        <v>2441</v>
      </c>
      <c r="F77" s="24">
        <v>46084.341493055559</v>
      </c>
      <c r="G77" t="s">
        <v>2436</v>
      </c>
    </row>
    <row r="78" spans="1:7" x14ac:dyDescent="0.25">
      <c r="A78">
        <v>137</v>
      </c>
      <c r="B78" t="s">
        <v>1802</v>
      </c>
      <c r="C78">
        <v>229</v>
      </c>
      <c r="D78" t="s">
        <v>2442</v>
      </c>
      <c r="E78" t="s">
        <v>2443</v>
      </c>
      <c r="F78" s="24">
        <v>46084.341493055559</v>
      </c>
      <c r="G78" t="s">
        <v>2436</v>
      </c>
    </row>
    <row r="79" spans="1:7" x14ac:dyDescent="0.25">
      <c r="A79">
        <v>137</v>
      </c>
      <c r="B79" t="s">
        <v>1802</v>
      </c>
      <c r="C79">
        <v>229</v>
      </c>
      <c r="D79" t="s">
        <v>2444</v>
      </c>
      <c r="E79" t="s">
        <v>2441</v>
      </c>
      <c r="F79" s="24">
        <v>46084.341493055559</v>
      </c>
      <c r="G79" t="s">
        <v>2436</v>
      </c>
    </row>
    <row r="80" spans="1:7" x14ac:dyDescent="0.25">
      <c r="A80">
        <v>137</v>
      </c>
      <c r="B80" t="s">
        <v>1802</v>
      </c>
      <c r="C80">
        <v>229</v>
      </c>
      <c r="D80" t="s">
        <v>2445</v>
      </c>
      <c r="E80" t="s">
        <v>2446</v>
      </c>
      <c r="F80" s="24">
        <v>46084.341493055559</v>
      </c>
      <c r="G80" t="s">
        <v>2436</v>
      </c>
    </row>
    <row r="81" spans="1:7" x14ac:dyDescent="0.25">
      <c r="A81">
        <v>137</v>
      </c>
      <c r="B81" t="s">
        <v>1802</v>
      </c>
      <c r="C81">
        <v>229</v>
      </c>
      <c r="D81" t="s">
        <v>2447</v>
      </c>
      <c r="E81" t="s">
        <v>2446</v>
      </c>
      <c r="F81" s="24">
        <v>46084.341493055559</v>
      </c>
      <c r="G81" t="s">
        <v>2436</v>
      </c>
    </row>
    <row r="82" spans="1:7" x14ac:dyDescent="0.25">
      <c r="A82">
        <v>137</v>
      </c>
      <c r="B82" t="s">
        <v>1802</v>
      </c>
      <c r="C82">
        <v>229</v>
      </c>
      <c r="D82" t="s">
        <v>2448</v>
      </c>
      <c r="E82" t="s">
        <v>2441</v>
      </c>
      <c r="F82" s="24">
        <v>46084.341504629629</v>
      </c>
      <c r="G82" t="s">
        <v>2436</v>
      </c>
    </row>
    <row r="83" spans="1:7" x14ac:dyDescent="0.25">
      <c r="A83">
        <v>145</v>
      </c>
      <c r="B83" t="s">
        <v>1842</v>
      </c>
      <c r="C83">
        <v>230</v>
      </c>
      <c r="D83" t="s">
        <v>2439</v>
      </c>
      <c r="E83" t="s">
        <v>2652</v>
      </c>
      <c r="F83" s="24">
        <v>46084.341504629629</v>
      </c>
      <c r="G83" t="s">
        <v>2436</v>
      </c>
    </row>
    <row r="84" spans="1:7" x14ac:dyDescent="0.25">
      <c r="A84">
        <v>145</v>
      </c>
      <c r="B84" t="s">
        <v>1842</v>
      </c>
      <c r="C84">
        <v>230</v>
      </c>
      <c r="D84" t="s">
        <v>2440</v>
      </c>
      <c r="E84" t="s">
        <v>2441</v>
      </c>
      <c r="F84" s="24">
        <v>46084.341504629629</v>
      </c>
      <c r="G84" t="s">
        <v>2436</v>
      </c>
    </row>
    <row r="85" spans="1:7" x14ac:dyDescent="0.25">
      <c r="A85">
        <v>145</v>
      </c>
      <c r="B85" t="s">
        <v>1842</v>
      </c>
      <c r="C85">
        <v>230</v>
      </c>
      <c r="D85" t="s">
        <v>2442</v>
      </c>
      <c r="E85" t="s">
        <v>2443</v>
      </c>
      <c r="F85" s="24">
        <v>46084.341504629629</v>
      </c>
      <c r="G85" t="s">
        <v>2436</v>
      </c>
    </row>
    <row r="86" spans="1:7" x14ac:dyDescent="0.25">
      <c r="A86">
        <v>145</v>
      </c>
      <c r="B86" t="s">
        <v>1842</v>
      </c>
      <c r="C86">
        <v>230</v>
      </c>
      <c r="D86" t="s">
        <v>2444</v>
      </c>
      <c r="E86" t="s">
        <v>2441</v>
      </c>
      <c r="F86" s="24">
        <v>46084.341504629629</v>
      </c>
      <c r="G86" t="s">
        <v>2436</v>
      </c>
    </row>
    <row r="87" spans="1:7" x14ac:dyDescent="0.25">
      <c r="A87">
        <v>145</v>
      </c>
      <c r="B87" t="s">
        <v>1842</v>
      </c>
      <c r="C87">
        <v>230</v>
      </c>
      <c r="D87" t="s">
        <v>2445</v>
      </c>
      <c r="E87" t="s">
        <v>2446</v>
      </c>
      <c r="F87" s="24">
        <v>46084.341504629629</v>
      </c>
      <c r="G87" t="s">
        <v>2436</v>
      </c>
    </row>
    <row r="88" spans="1:7" x14ac:dyDescent="0.25">
      <c r="A88">
        <v>145</v>
      </c>
      <c r="B88" t="s">
        <v>1842</v>
      </c>
      <c r="C88">
        <v>230</v>
      </c>
      <c r="D88" t="s">
        <v>2447</v>
      </c>
      <c r="E88" t="s">
        <v>2446</v>
      </c>
      <c r="F88" s="24">
        <v>46084.341504629629</v>
      </c>
      <c r="G88" t="s">
        <v>2436</v>
      </c>
    </row>
    <row r="89" spans="1:7" x14ac:dyDescent="0.25">
      <c r="A89">
        <v>145</v>
      </c>
      <c r="B89" t="s">
        <v>1842</v>
      </c>
      <c r="C89">
        <v>230</v>
      </c>
      <c r="D89" t="s">
        <v>2448</v>
      </c>
      <c r="E89" t="s">
        <v>2441</v>
      </c>
      <c r="F89" s="24">
        <v>46084.341516203705</v>
      </c>
      <c r="G89" t="s">
        <v>2436</v>
      </c>
    </row>
    <row r="90" spans="1:7" x14ac:dyDescent="0.25">
      <c r="A90">
        <v>146</v>
      </c>
      <c r="B90" t="s">
        <v>1848</v>
      </c>
      <c r="C90">
        <v>231</v>
      </c>
      <c r="D90" t="s">
        <v>2439</v>
      </c>
      <c r="E90" t="s">
        <v>2653</v>
      </c>
      <c r="F90" s="24">
        <v>46084.341516203705</v>
      </c>
      <c r="G90" t="s">
        <v>2436</v>
      </c>
    </row>
    <row r="91" spans="1:7" x14ac:dyDescent="0.25">
      <c r="A91">
        <v>146</v>
      </c>
      <c r="B91" t="s">
        <v>1848</v>
      </c>
      <c r="C91">
        <v>231</v>
      </c>
      <c r="D91" t="s">
        <v>2440</v>
      </c>
      <c r="E91" t="s">
        <v>2441</v>
      </c>
      <c r="F91" s="24">
        <v>46084.341516203705</v>
      </c>
      <c r="G91" t="s">
        <v>2436</v>
      </c>
    </row>
    <row r="92" spans="1:7" x14ac:dyDescent="0.25">
      <c r="A92">
        <v>146</v>
      </c>
      <c r="B92" t="s">
        <v>1848</v>
      </c>
      <c r="C92">
        <v>231</v>
      </c>
      <c r="D92" t="s">
        <v>2442</v>
      </c>
      <c r="E92" t="s">
        <v>2443</v>
      </c>
      <c r="F92" s="24">
        <v>46084.341516203705</v>
      </c>
      <c r="G92" t="s">
        <v>2436</v>
      </c>
    </row>
    <row r="93" spans="1:7" x14ac:dyDescent="0.25">
      <c r="A93">
        <v>146</v>
      </c>
      <c r="B93" t="s">
        <v>1848</v>
      </c>
      <c r="C93">
        <v>231</v>
      </c>
      <c r="D93" t="s">
        <v>2444</v>
      </c>
      <c r="E93" t="s">
        <v>2441</v>
      </c>
      <c r="F93" s="24">
        <v>46084.341516203705</v>
      </c>
      <c r="G93" t="s">
        <v>2436</v>
      </c>
    </row>
    <row r="94" spans="1:7" x14ac:dyDescent="0.25">
      <c r="A94">
        <v>146</v>
      </c>
      <c r="B94" t="s">
        <v>1848</v>
      </c>
      <c r="C94">
        <v>231</v>
      </c>
      <c r="D94" t="s">
        <v>2445</v>
      </c>
      <c r="E94" t="s">
        <v>2446</v>
      </c>
      <c r="F94" s="24">
        <v>46084.341516203705</v>
      </c>
      <c r="G94" t="s">
        <v>2436</v>
      </c>
    </row>
    <row r="95" spans="1:7" x14ac:dyDescent="0.25">
      <c r="A95">
        <v>146</v>
      </c>
      <c r="B95" t="s">
        <v>1848</v>
      </c>
      <c r="C95">
        <v>231</v>
      </c>
      <c r="D95" t="s">
        <v>2447</v>
      </c>
      <c r="E95" t="s">
        <v>2446</v>
      </c>
      <c r="F95" s="24">
        <v>46084.341516203705</v>
      </c>
      <c r="G95" t="s">
        <v>2436</v>
      </c>
    </row>
    <row r="96" spans="1:7" x14ac:dyDescent="0.25">
      <c r="A96">
        <v>146</v>
      </c>
      <c r="B96" t="s">
        <v>1848</v>
      </c>
      <c r="C96">
        <v>231</v>
      </c>
      <c r="D96" t="s">
        <v>2448</v>
      </c>
      <c r="E96" t="s">
        <v>2441</v>
      </c>
      <c r="F96" s="24">
        <v>46084.341527777775</v>
      </c>
      <c r="G96" t="s">
        <v>2436</v>
      </c>
    </row>
    <row r="97" spans="1:7" x14ac:dyDescent="0.25">
      <c r="A97">
        <v>154</v>
      </c>
      <c r="B97" t="s">
        <v>1889</v>
      </c>
      <c r="C97">
        <v>232</v>
      </c>
      <c r="D97" t="s">
        <v>2439</v>
      </c>
      <c r="E97" t="s">
        <v>2654</v>
      </c>
      <c r="F97" s="24">
        <v>46084.341527777775</v>
      </c>
      <c r="G97" t="s">
        <v>2436</v>
      </c>
    </row>
    <row r="98" spans="1:7" x14ac:dyDescent="0.25">
      <c r="A98">
        <v>154</v>
      </c>
      <c r="B98" t="s">
        <v>1889</v>
      </c>
      <c r="C98">
        <v>232</v>
      </c>
      <c r="D98" t="s">
        <v>2440</v>
      </c>
      <c r="E98" t="s">
        <v>2441</v>
      </c>
      <c r="F98" s="24">
        <v>46084.341527777775</v>
      </c>
      <c r="G98" t="s">
        <v>2436</v>
      </c>
    </row>
    <row r="99" spans="1:7" x14ac:dyDescent="0.25">
      <c r="A99">
        <v>154</v>
      </c>
      <c r="B99" t="s">
        <v>1889</v>
      </c>
      <c r="C99">
        <v>232</v>
      </c>
      <c r="D99" t="s">
        <v>2442</v>
      </c>
      <c r="E99" t="s">
        <v>2443</v>
      </c>
      <c r="F99" s="24">
        <v>46084.341527777775</v>
      </c>
      <c r="G99" t="s">
        <v>2436</v>
      </c>
    </row>
    <row r="100" spans="1:7" x14ac:dyDescent="0.25">
      <c r="A100">
        <v>154</v>
      </c>
      <c r="B100" t="s">
        <v>1889</v>
      </c>
      <c r="C100">
        <v>232</v>
      </c>
      <c r="D100" t="s">
        <v>2444</v>
      </c>
      <c r="E100" t="s">
        <v>2441</v>
      </c>
      <c r="F100" s="24">
        <v>46084.341527777775</v>
      </c>
      <c r="G100" t="s">
        <v>2436</v>
      </c>
    </row>
    <row r="101" spans="1:7" x14ac:dyDescent="0.25">
      <c r="A101">
        <v>154</v>
      </c>
      <c r="B101" t="s">
        <v>1889</v>
      </c>
      <c r="C101">
        <v>232</v>
      </c>
      <c r="D101" t="s">
        <v>2445</v>
      </c>
      <c r="E101" t="s">
        <v>2446</v>
      </c>
      <c r="F101" s="24">
        <v>46084.341527777775</v>
      </c>
      <c r="G101" t="s">
        <v>2436</v>
      </c>
    </row>
    <row r="102" spans="1:7" x14ac:dyDescent="0.25">
      <c r="A102">
        <v>154</v>
      </c>
      <c r="B102" t="s">
        <v>1889</v>
      </c>
      <c r="C102">
        <v>232</v>
      </c>
      <c r="D102" t="s">
        <v>2447</v>
      </c>
      <c r="E102" t="s">
        <v>2446</v>
      </c>
      <c r="F102" s="24">
        <v>46084.341527777775</v>
      </c>
      <c r="G102" t="s">
        <v>2436</v>
      </c>
    </row>
    <row r="103" spans="1:7" x14ac:dyDescent="0.25">
      <c r="A103">
        <v>154</v>
      </c>
      <c r="B103" t="s">
        <v>1889</v>
      </c>
      <c r="C103">
        <v>232</v>
      </c>
      <c r="D103" t="s">
        <v>2448</v>
      </c>
      <c r="E103" t="s">
        <v>2441</v>
      </c>
      <c r="F103" s="24">
        <v>46084.341539351852</v>
      </c>
      <c r="G103" t="s">
        <v>2436</v>
      </c>
    </row>
    <row r="104" spans="1:7" x14ac:dyDescent="0.25">
      <c r="A104">
        <v>161</v>
      </c>
      <c r="B104" t="s">
        <v>2420</v>
      </c>
      <c r="C104">
        <v>233</v>
      </c>
      <c r="D104" t="s">
        <v>2439</v>
      </c>
      <c r="E104" t="s">
        <v>2655</v>
      </c>
      <c r="F104" s="24">
        <v>46084.341539351852</v>
      </c>
      <c r="G104" t="s">
        <v>2436</v>
      </c>
    </row>
    <row r="105" spans="1:7" x14ac:dyDescent="0.25">
      <c r="A105">
        <v>161</v>
      </c>
      <c r="B105" t="s">
        <v>2420</v>
      </c>
      <c r="C105">
        <v>233</v>
      </c>
      <c r="D105" t="s">
        <v>2440</v>
      </c>
      <c r="E105" t="s">
        <v>2441</v>
      </c>
      <c r="F105" s="24">
        <v>46084.341539351852</v>
      </c>
      <c r="G105" t="s">
        <v>2436</v>
      </c>
    </row>
    <row r="106" spans="1:7" x14ac:dyDescent="0.25">
      <c r="A106">
        <v>161</v>
      </c>
      <c r="B106" t="s">
        <v>2420</v>
      </c>
      <c r="C106">
        <v>233</v>
      </c>
      <c r="D106" t="s">
        <v>2442</v>
      </c>
      <c r="E106" t="s">
        <v>2443</v>
      </c>
      <c r="F106" s="24">
        <v>46084.341539351852</v>
      </c>
      <c r="G106" t="s">
        <v>2436</v>
      </c>
    </row>
    <row r="107" spans="1:7" x14ac:dyDescent="0.25">
      <c r="A107">
        <v>161</v>
      </c>
      <c r="B107" t="s">
        <v>2420</v>
      </c>
      <c r="C107">
        <v>233</v>
      </c>
      <c r="D107" t="s">
        <v>2444</v>
      </c>
      <c r="E107" t="s">
        <v>2441</v>
      </c>
      <c r="F107" s="24">
        <v>46084.341539351852</v>
      </c>
      <c r="G107" t="s">
        <v>2436</v>
      </c>
    </row>
    <row r="108" spans="1:7" x14ac:dyDescent="0.25">
      <c r="A108">
        <v>161</v>
      </c>
      <c r="B108" t="s">
        <v>2420</v>
      </c>
      <c r="C108">
        <v>233</v>
      </c>
      <c r="D108" t="s">
        <v>2445</v>
      </c>
      <c r="E108" t="s">
        <v>2446</v>
      </c>
      <c r="F108" s="24">
        <v>46084.341539351852</v>
      </c>
      <c r="G108" t="s">
        <v>2436</v>
      </c>
    </row>
    <row r="109" spans="1:7" x14ac:dyDescent="0.25">
      <c r="A109">
        <v>161</v>
      </c>
      <c r="B109" t="s">
        <v>2420</v>
      </c>
      <c r="C109">
        <v>233</v>
      </c>
      <c r="D109" t="s">
        <v>2447</v>
      </c>
      <c r="E109" t="s">
        <v>2446</v>
      </c>
      <c r="F109" s="24">
        <v>46084.341539351852</v>
      </c>
      <c r="G109" t="s">
        <v>2436</v>
      </c>
    </row>
    <row r="110" spans="1:7" x14ac:dyDescent="0.25">
      <c r="A110">
        <v>161</v>
      </c>
      <c r="B110" t="s">
        <v>2420</v>
      </c>
      <c r="C110">
        <v>233</v>
      </c>
      <c r="D110" t="s">
        <v>2448</v>
      </c>
      <c r="E110" t="s">
        <v>2441</v>
      </c>
      <c r="F110" s="24">
        <v>46084.341550925928</v>
      </c>
      <c r="G110" t="s">
        <v>2436</v>
      </c>
    </row>
    <row r="111" spans="1:7" x14ac:dyDescent="0.25">
      <c r="A111">
        <v>172</v>
      </c>
      <c r="B111" t="s">
        <v>1976</v>
      </c>
      <c r="C111">
        <v>234</v>
      </c>
      <c r="D111" t="s">
        <v>2439</v>
      </c>
      <c r="E111" t="s">
        <v>2656</v>
      </c>
      <c r="F111" s="24">
        <v>46084.341550925928</v>
      </c>
      <c r="G111" t="s">
        <v>2436</v>
      </c>
    </row>
    <row r="112" spans="1:7" x14ac:dyDescent="0.25">
      <c r="A112">
        <v>172</v>
      </c>
      <c r="B112" t="s">
        <v>1976</v>
      </c>
      <c r="C112">
        <v>234</v>
      </c>
      <c r="D112" t="s">
        <v>2440</v>
      </c>
      <c r="E112" t="s">
        <v>2441</v>
      </c>
      <c r="F112" s="24">
        <v>46084.341550925928</v>
      </c>
      <c r="G112" t="s">
        <v>2436</v>
      </c>
    </row>
    <row r="113" spans="1:7" x14ac:dyDescent="0.25">
      <c r="A113">
        <v>172</v>
      </c>
      <c r="B113" t="s">
        <v>1976</v>
      </c>
      <c r="C113">
        <v>234</v>
      </c>
      <c r="D113" t="s">
        <v>2442</v>
      </c>
      <c r="E113" t="s">
        <v>2443</v>
      </c>
      <c r="F113" s="24">
        <v>46084.341550925928</v>
      </c>
      <c r="G113" t="s">
        <v>2436</v>
      </c>
    </row>
    <row r="114" spans="1:7" x14ac:dyDescent="0.25">
      <c r="A114">
        <v>172</v>
      </c>
      <c r="B114" t="s">
        <v>1976</v>
      </c>
      <c r="C114">
        <v>234</v>
      </c>
      <c r="D114" t="s">
        <v>2444</v>
      </c>
      <c r="E114" t="s">
        <v>2441</v>
      </c>
      <c r="F114" s="24">
        <v>46084.341550925928</v>
      </c>
      <c r="G114" t="s">
        <v>2436</v>
      </c>
    </row>
    <row r="115" spans="1:7" x14ac:dyDescent="0.25">
      <c r="A115">
        <v>172</v>
      </c>
      <c r="B115" t="s">
        <v>1976</v>
      </c>
      <c r="C115">
        <v>234</v>
      </c>
      <c r="D115" t="s">
        <v>2445</v>
      </c>
      <c r="E115" t="s">
        <v>2446</v>
      </c>
      <c r="F115" s="24">
        <v>46084.341550925928</v>
      </c>
      <c r="G115" t="s">
        <v>2436</v>
      </c>
    </row>
    <row r="116" spans="1:7" x14ac:dyDescent="0.25">
      <c r="A116">
        <v>172</v>
      </c>
      <c r="B116" t="s">
        <v>1976</v>
      </c>
      <c r="C116">
        <v>234</v>
      </c>
      <c r="D116" t="s">
        <v>2447</v>
      </c>
      <c r="E116" t="s">
        <v>2446</v>
      </c>
      <c r="F116" s="24">
        <v>46084.341550925928</v>
      </c>
      <c r="G116" t="s">
        <v>2436</v>
      </c>
    </row>
    <row r="117" spans="1:7" x14ac:dyDescent="0.25">
      <c r="A117">
        <v>172</v>
      </c>
      <c r="B117" t="s">
        <v>1976</v>
      </c>
      <c r="C117">
        <v>234</v>
      </c>
      <c r="D117" t="s">
        <v>2448</v>
      </c>
      <c r="E117" t="s">
        <v>2441</v>
      </c>
      <c r="F117" s="24">
        <v>46084.341562499998</v>
      </c>
      <c r="G117" t="s">
        <v>2436</v>
      </c>
    </row>
    <row r="118" spans="1:7" x14ac:dyDescent="0.25">
      <c r="A118">
        <v>180</v>
      </c>
      <c r="B118" t="s">
        <v>2015</v>
      </c>
      <c r="C118">
        <v>235</v>
      </c>
      <c r="D118" t="s">
        <v>2439</v>
      </c>
      <c r="E118" t="s">
        <v>2657</v>
      </c>
      <c r="F118" s="24">
        <v>46084.341562499998</v>
      </c>
      <c r="G118" t="s">
        <v>2436</v>
      </c>
    </row>
    <row r="119" spans="1:7" x14ac:dyDescent="0.25">
      <c r="A119">
        <v>180</v>
      </c>
      <c r="B119" t="s">
        <v>2015</v>
      </c>
      <c r="C119">
        <v>235</v>
      </c>
      <c r="D119" t="s">
        <v>2440</v>
      </c>
      <c r="E119" t="s">
        <v>2441</v>
      </c>
      <c r="F119" s="24">
        <v>46084.341562499998</v>
      </c>
      <c r="G119" t="s">
        <v>2436</v>
      </c>
    </row>
    <row r="120" spans="1:7" x14ac:dyDescent="0.25">
      <c r="A120">
        <v>180</v>
      </c>
      <c r="B120" t="s">
        <v>2015</v>
      </c>
      <c r="C120">
        <v>235</v>
      </c>
      <c r="D120" t="s">
        <v>2442</v>
      </c>
      <c r="E120" t="s">
        <v>2443</v>
      </c>
      <c r="F120" s="24">
        <v>46084.341562499998</v>
      </c>
      <c r="G120" t="s">
        <v>2436</v>
      </c>
    </row>
    <row r="121" spans="1:7" x14ac:dyDescent="0.25">
      <c r="A121">
        <v>180</v>
      </c>
      <c r="B121" t="s">
        <v>2015</v>
      </c>
      <c r="C121">
        <v>235</v>
      </c>
      <c r="D121" t="s">
        <v>2444</v>
      </c>
      <c r="E121" t="s">
        <v>2441</v>
      </c>
      <c r="F121" s="24">
        <v>46084.341562499998</v>
      </c>
      <c r="G121" t="s">
        <v>2436</v>
      </c>
    </row>
    <row r="122" spans="1:7" x14ac:dyDescent="0.25">
      <c r="A122">
        <v>180</v>
      </c>
      <c r="B122" t="s">
        <v>2015</v>
      </c>
      <c r="C122">
        <v>235</v>
      </c>
      <c r="D122" t="s">
        <v>2445</v>
      </c>
      <c r="E122" t="s">
        <v>2446</v>
      </c>
      <c r="F122" s="24">
        <v>46084.341562499998</v>
      </c>
      <c r="G122" t="s">
        <v>2436</v>
      </c>
    </row>
    <row r="123" spans="1:7" x14ac:dyDescent="0.25">
      <c r="A123">
        <v>180</v>
      </c>
      <c r="B123" t="s">
        <v>2015</v>
      </c>
      <c r="C123">
        <v>235</v>
      </c>
      <c r="D123" t="s">
        <v>2447</v>
      </c>
      <c r="E123" t="s">
        <v>2446</v>
      </c>
      <c r="F123" s="24">
        <v>46084.341562499998</v>
      </c>
      <c r="G123" t="s">
        <v>2436</v>
      </c>
    </row>
    <row r="124" spans="1:7" x14ac:dyDescent="0.25">
      <c r="A124">
        <v>180</v>
      </c>
      <c r="B124" t="s">
        <v>2015</v>
      </c>
      <c r="C124">
        <v>235</v>
      </c>
      <c r="D124" t="s">
        <v>2448</v>
      </c>
      <c r="E124" t="s">
        <v>2441</v>
      </c>
      <c r="F124" s="24">
        <v>46084.341574074075</v>
      </c>
      <c r="G124" t="s">
        <v>2436</v>
      </c>
    </row>
    <row r="125" spans="1:7" x14ac:dyDescent="0.25">
      <c r="A125">
        <v>183</v>
      </c>
      <c r="B125" t="s">
        <v>2031</v>
      </c>
      <c r="C125">
        <v>236</v>
      </c>
      <c r="D125" t="s">
        <v>2439</v>
      </c>
      <c r="E125" t="s">
        <v>2658</v>
      </c>
      <c r="F125" s="24">
        <v>46084.341574074075</v>
      </c>
      <c r="G125" t="s">
        <v>2436</v>
      </c>
    </row>
    <row r="126" spans="1:7" x14ac:dyDescent="0.25">
      <c r="A126">
        <v>183</v>
      </c>
      <c r="B126" t="s">
        <v>2031</v>
      </c>
      <c r="C126">
        <v>236</v>
      </c>
      <c r="D126" t="s">
        <v>2440</v>
      </c>
      <c r="E126" t="s">
        <v>2441</v>
      </c>
      <c r="F126" s="24">
        <v>46084.341574074075</v>
      </c>
      <c r="G126" t="s">
        <v>2436</v>
      </c>
    </row>
    <row r="127" spans="1:7" x14ac:dyDescent="0.25">
      <c r="A127">
        <v>183</v>
      </c>
      <c r="B127" t="s">
        <v>2031</v>
      </c>
      <c r="C127">
        <v>236</v>
      </c>
      <c r="D127" t="s">
        <v>2442</v>
      </c>
      <c r="E127" t="s">
        <v>2443</v>
      </c>
      <c r="F127" s="24">
        <v>46084.341574074075</v>
      </c>
      <c r="G127" t="s">
        <v>2436</v>
      </c>
    </row>
    <row r="128" spans="1:7" x14ac:dyDescent="0.25">
      <c r="A128">
        <v>183</v>
      </c>
      <c r="B128" t="s">
        <v>2031</v>
      </c>
      <c r="C128">
        <v>236</v>
      </c>
      <c r="D128" t="s">
        <v>2444</v>
      </c>
      <c r="E128" t="s">
        <v>2441</v>
      </c>
      <c r="F128" s="24">
        <v>46084.341574074075</v>
      </c>
      <c r="G128" t="s">
        <v>2436</v>
      </c>
    </row>
    <row r="129" spans="1:7" x14ac:dyDescent="0.25">
      <c r="A129">
        <v>183</v>
      </c>
      <c r="B129" t="s">
        <v>2031</v>
      </c>
      <c r="C129">
        <v>236</v>
      </c>
      <c r="D129" t="s">
        <v>2445</v>
      </c>
      <c r="E129" t="s">
        <v>2446</v>
      </c>
      <c r="F129" s="24">
        <v>46084.341574074075</v>
      </c>
      <c r="G129" t="s">
        <v>2436</v>
      </c>
    </row>
    <row r="130" spans="1:7" x14ac:dyDescent="0.25">
      <c r="A130">
        <v>183</v>
      </c>
      <c r="B130" t="s">
        <v>2031</v>
      </c>
      <c r="C130">
        <v>236</v>
      </c>
      <c r="D130" t="s">
        <v>2447</v>
      </c>
      <c r="E130" t="s">
        <v>2446</v>
      </c>
      <c r="F130" s="24">
        <v>46084.341574074075</v>
      </c>
      <c r="G130" t="s">
        <v>2436</v>
      </c>
    </row>
    <row r="131" spans="1:7" x14ac:dyDescent="0.25">
      <c r="A131">
        <v>183</v>
      </c>
      <c r="B131" t="s">
        <v>2031</v>
      </c>
      <c r="C131">
        <v>236</v>
      </c>
      <c r="D131" t="s">
        <v>2448</v>
      </c>
      <c r="E131" t="s">
        <v>2441</v>
      </c>
      <c r="F131" s="24">
        <v>46084.341585648152</v>
      </c>
      <c r="G131" t="s">
        <v>2436</v>
      </c>
    </row>
    <row r="132" spans="1:7" x14ac:dyDescent="0.25">
      <c r="A132">
        <v>227</v>
      </c>
      <c r="B132" t="s">
        <v>2422</v>
      </c>
      <c r="C132">
        <v>237</v>
      </c>
      <c r="D132" t="s">
        <v>2439</v>
      </c>
      <c r="E132" t="s">
        <v>2659</v>
      </c>
      <c r="F132" s="24">
        <v>46084.341585648152</v>
      </c>
      <c r="G132" t="s">
        <v>2436</v>
      </c>
    </row>
    <row r="133" spans="1:7" x14ac:dyDescent="0.25">
      <c r="A133">
        <v>227</v>
      </c>
      <c r="B133" t="s">
        <v>2422</v>
      </c>
      <c r="C133">
        <v>237</v>
      </c>
      <c r="D133" t="s">
        <v>2440</v>
      </c>
      <c r="E133" t="s">
        <v>2441</v>
      </c>
      <c r="F133" s="24">
        <v>46084.341585648152</v>
      </c>
      <c r="G133" t="s">
        <v>2436</v>
      </c>
    </row>
    <row r="134" spans="1:7" x14ac:dyDescent="0.25">
      <c r="A134">
        <v>227</v>
      </c>
      <c r="B134" t="s">
        <v>2422</v>
      </c>
      <c r="C134">
        <v>237</v>
      </c>
      <c r="D134" t="s">
        <v>2442</v>
      </c>
      <c r="E134" t="s">
        <v>2443</v>
      </c>
      <c r="F134" s="24">
        <v>46084.341585648152</v>
      </c>
      <c r="G134" t="s">
        <v>2436</v>
      </c>
    </row>
    <row r="135" spans="1:7" x14ac:dyDescent="0.25">
      <c r="A135">
        <v>227</v>
      </c>
      <c r="B135" t="s">
        <v>2422</v>
      </c>
      <c r="C135">
        <v>237</v>
      </c>
      <c r="D135" t="s">
        <v>2444</v>
      </c>
      <c r="E135" t="s">
        <v>2441</v>
      </c>
      <c r="F135" s="24">
        <v>46084.341585648152</v>
      </c>
      <c r="G135" t="s">
        <v>2436</v>
      </c>
    </row>
    <row r="136" spans="1:7" x14ac:dyDescent="0.25">
      <c r="A136">
        <v>227</v>
      </c>
      <c r="B136" t="s">
        <v>2422</v>
      </c>
      <c r="C136">
        <v>237</v>
      </c>
      <c r="D136" t="s">
        <v>2445</v>
      </c>
      <c r="E136" t="s">
        <v>2446</v>
      </c>
      <c r="F136" s="24">
        <v>46084.341585648152</v>
      </c>
      <c r="G136" t="s">
        <v>2436</v>
      </c>
    </row>
    <row r="137" spans="1:7" x14ac:dyDescent="0.25">
      <c r="A137">
        <v>227</v>
      </c>
      <c r="B137" t="s">
        <v>2422</v>
      </c>
      <c r="C137">
        <v>237</v>
      </c>
      <c r="D137" t="s">
        <v>2447</v>
      </c>
      <c r="E137" t="s">
        <v>2446</v>
      </c>
      <c r="F137" s="24">
        <v>46084.341585648152</v>
      </c>
      <c r="G137" t="s">
        <v>2436</v>
      </c>
    </row>
    <row r="138" spans="1:7" x14ac:dyDescent="0.25">
      <c r="A138">
        <v>227</v>
      </c>
      <c r="B138" t="s">
        <v>2422</v>
      </c>
      <c r="C138">
        <v>237</v>
      </c>
      <c r="D138" t="s">
        <v>2448</v>
      </c>
      <c r="E138" t="s">
        <v>2441</v>
      </c>
      <c r="F138" s="24">
        <v>46084.341597222221</v>
      </c>
      <c r="G138" t="s">
        <v>2436</v>
      </c>
    </row>
    <row r="321" ht="16.5" customHeight="1" x14ac:dyDescent="0.25"/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7773A-BB0F-41D5-B7C6-C418E65750A7}">
  <sheetPr codeName="Munka12"/>
  <dimension ref="A1:G4"/>
  <sheetViews>
    <sheetView topLeftCell="A10" workbookViewId="0">
      <selection activeCell="E19" sqref="E1:E1048576"/>
    </sheetView>
  </sheetViews>
  <sheetFormatPr defaultRowHeight="15" x14ac:dyDescent="0.25"/>
  <cols>
    <col min="1" max="1" width="10.85546875" bestFit="1" customWidth="1"/>
    <col min="2" max="2" width="10.42578125" bestFit="1" customWidth="1"/>
    <col min="3" max="3" width="9.5703125" bestFit="1" customWidth="1"/>
    <col min="4" max="4" width="6.42578125" bestFit="1" customWidth="1"/>
    <col min="5" max="5" width="8.140625" bestFit="1" customWidth="1"/>
    <col min="6" max="6" width="6.42578125" bestFit="1" customWidth="1"/>
    <col min="7" max="7" width="8.5703125" bestFit="1" customWidth="1"/>
  </cols>
  <sheetData>
    <row r="1" spans="1:7" x14ac:dyDescent="0.25">
      <c r="A1" t="s">
        <v>2449</v>
      </c>
      <c r="B1" t="s">
        <v>2450</v>
      </c>
      <c r="C1" t="s">
        <v>2451</v>
      </c>
      <c r="D1" t="s">
        <v>2452</v>
      </c>
      <c r="E1" t="s">
        <v>2453</v>
      </c>
      <c r="F1" t="s">
        <v>2454</v>
      </c>
      <c r="G1" t="s">
        <v>2430</v>
      </c>
    </row>
    <row r="2" spans="1:7" x14ac:dyDescent="0.25">
      <c r="A2" s="24">
        <v>46097.359050925923</v>
      </c>
      <c r="B2">
        <v>1</v>
      </c>
      <c r="C2" t="s">
        <v>2890</v>
      </c>
      <c r="D2">
        <v>1</v>
      </c>
      <c r="E2" t="s">
        <v>2891</v>
      </c>
      <c r="F2" t="s">
        <v>2446</v>
      </c>
    </row>
    <row r="3" spans="1:7" x14ac:dyDescent="0.25">
      <c r="A3" s="24">
        <v>46097.359074074076</v>
      </c>
      <c r="B3">
        <v>1</v>
      </c>
      <c r="C3" t="s">
        <v>2666</v>
      </c>
      <c r="D3">
        <v>1</v>
      </c>
      <c r="E3" t="s">
        <v>2667</v>
      </c>
      <c r="F3" t="s">
        <v>2446</v>
      </c>
    </row>
    <row r="4" spans="1:7" x14ac:dyDescent="0.25">
      <c r="A4" s="24">
        <v>46097.359074074076</v>
      </c>
      <c r="B4" t="s">
        <v>2476</v>
      </c>
      <c r="C4" t="s">
        <v>2477</v>
      </c>
      <c r="D4">
        <v>2</v>
      </c>
      <c r="F4" t="s">
        <v>2478</v>
      </c>
      <c r="G4" t="s">
        <v>2479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7FBC6-65EA-4654-95FF-DD0AB0403375}">
  <sheetPr codeName="Munka13"/>
  <dimension ref="A1:C57"/>
  <sheetViews>
    <sheetView topLeftCell="A19" workbookViewId="0">
      <selection activeCell="C30" sqref="C30"/>
    </sheetView>
  </sheetViews>
  <sheetFormatPr defaultRowHeight="15" x14ac:dyDescent="0.25"/>
  <cols>
    <col min="1" max="1" width="34" customWidth="1"/>
    <col min="2" max="2" width="6.140625" bestFit="1" customWidth="1"/>
    <col min="3" max="3" width="255.5703125" bestFit="1" customWidth="1"/>
  </cols>
  <sheetData>
    <row r="1" spans="1:3" x14ac:dyDescent="0.25">
      <c r="A1" t="s">
        <v>2526</v>
      </c>
      <c r="B1" t="s">
        <v>2527</v>
      </c>
      <c r="C1" t="s">
        <v>2528</v>
      </c>
    </row>
    <row r="2" spans="1:3" x14ac:dyDescent="0.25">
      <c r="A2" t="s">
        <v>2529</v>
      </c>
      <c r="B2">
        <v>4</v>
      </c>
      <c r="C2" t="s">
        <v>2530</v>
      </c>
    </row>
    <row r="3" spans="1:3" x14ac:dyDescent="0.25">
      <c r="A3" t="s">
        <v>2531</v>
      </c>
      <c r="B3">
        <v>4</v>
      </c>
      <c r="C3" t="s">
        <v>2532</v>
      </c>
    </row>
    <row r="4" spans="1:3" x14ac:dyDescent="0.25">
      <c r="A4" t="s">
        <v>2533</v>
      </c>
      <c r="B4">
        <v>4</v>
      </c>
      <c r="C4" t="s">
        <v>2534</v>
      </c>
    </row>
    <row r="5" spans="1:3" x14ac:dyDescent="0.25">
      <c r="A5" t="s">
        <v>2535</v>
      </c>
      <c r="B5">
        <v>4</v>
      </c>
      <c r="C5" t="s">
        <v>2536</v>
      </c>
    </row>
    <row r="6" spans="1:3" x14ac:dyDescent="0.25">
      <c r="A6" t="s">
        <v>2537</v>
      </c>
      <c r="B6">
        <v>4</v>
      </c>
      <c r="C6" t="s">
        <v>2538</v>
      </c>
    </row>
    <row r="7" spans="1:3" x14ac:dyDescent="0.25">
      <c r="A7" t="s">
        <v>2539</v>
      </c>
      <c r="B7">
        <v>4</v>
      </c>
      <c r="C7" t="s">
        <v>2540</v>
      </c>
    </row>
    <row r="8" spans="1:3" x14ac:dyDescent="0.25">
      <c r="A8" t="s">
        <v>2541</v>
      </c>
      <c r="B8">
        <v>4</v>
      </c>
      <c r="C8" t="s">
        <v>2542</v>
      </c>
    </row>
    <row r="9" spans="1:3" x14ac:dyDescent="0.25">
      <c r="A9" t="s">
        <v>2543</v>
      </c>
      <c r="B9">
        <v>4</v>
      </c>
      <c r="C9" t="s">
        <v>2544</v>
      </c>
    </row>
    <row r="10" spans="1:3" x14ac:dyDescent="0.25">
      <c r="A10" t="s">
        <v>2545</v>
      </c>
      <c r="B10">
        <v>4</v>
      </c>
      <c r="C10" t="s">
        <v>2546</v>
      </c>
    </row>
    <row r="11" spans="1:3" x14ac:dyDescent="0.25">
      <c r="A11" t="s">
        <v>2547</v>
      </c>
      <c r="B11">
        <v>4</v>
      </c>
      <c r="C11" t="s">
        <v>2548</v>
      </c>
    </row>
    <row r="12" spans="1:3" x14ac:dyDescent="0.25">
      <c r="A12" t="s">
        <v>2549</v>
      </c>
      <c r="B12">
        <v>4</v>
      </c>
      <c r="C12" t="s">
        <v>2550</v>
      </c>
    </row>
    <row r="13" spans="1:3" x14ac:dyDescent="0.25">
      <c r="A13" t="s">
        <v>2551</v>
      </c>
      <c r="B13">
        <v>4</v>
      </c>
      <c r="C13" t="s">
        <v>2552</v>
      </c>
    </row>
    <row r="14" spans="1:3" x14ac:dyDescent="0.25">
      <c r="A14" t="s">
        <v>2553</v>
      </c>
      <c r="B14">
        <v>4</v>
      </c>
      <c r="C14" t="s">
        <v>2554</v>
      </c>
    </row>
    <row r="15" spans="1:3" x14ac:dyDescent="0.25">
      <c r="A15" t="s">
        <v>2555</v>
      </c>
      <c r="B15">
        <v>4</v>
      </c>
      <c r="C15" t="s">
        <v>2556</v>
      </c>
    </row>
    <row r="16" spans="1:3" x14ac:dyDescent="0.25">
      <c r="A16" t="s">
        <v>2557</v>
      </c>
      <c r="B16">
        <v>4</v>
      </c>
      <c r="C16" t="s">
        <v>2558</v>
      </c>
    </row>
    <row r="17" spans="1:3" x14ac:dyDescent="0.25">
      <c r="A17" t="s">
        <v>2559</v>
      </c>
      <c r="B17">
        <v>29</v>
      </c>
      <c r="C17" t="s">
        <v>2560</v>
      </c>
    </row>
    <row r="18" spans="1:3" x14ac:dyDescent="0.25">
      <c r="A18" t="s">
        <v>2561</v>
      </c>
      <c r="B18">
        <v>4</v>
      </c>
      <c r="C18" t="s">
        <v>2562</v>
      </c>
    </row>
    <row r="19" spans="1:3" x14ac:dyDescent="0.25">
      <c r="A19" t="s">
        <v>2563</v>
      </c>
      <c r="B19">
        <v>4</v>
      </c>
      <c r="C19" t="s">
        <v>2564</v>
      </c>
    </row>
    <row r="20" spans="1:3" x14ac:dyDescent="0.25">
      <c r="A20" t="s">
        <v>2565</v>
      </c>
      <c r="B20">
        <v>4</v>
      </c>
      <c r="C20" t="s">
        <v>2566</v>
      </c>
    </row>
    <row r="21" spans="1:3" x14ac:dyDescent="0.25">
      <c r="A21" t="s">
        <v>2567</v>
      </c>
      <c r="B21">
        <v>4</v>
      </c>
      <c r="C21" t="s">
        <v>2568</v>
      </c>
    </row>
    <row r="22" spans="1:3" x14ac:dyDescent="0.25">
      <c r="A22" t="s">
        <v>2569</v>
      </c>
      <c r="B22">
        <v>4</v>
      </c>
      <c r="C22" t="s">
        <v>2570</v>
      </c>
    </row>
    <row r="23" spans="1:3" x14ac:dyDescent="0.25">
      <c r="A23" t="s">
        <v>2571</v>
      </c>
      <c r="B23">
        <v>4</v>
      </c>
      <c r="C23" t="s">
        <v>2572</v>
      </c>
    </row>
    <row r="24" spans="1:3" x14ac:dyDescent="0.25">
      <c r="A24" t="s">
        <v>2573</v>
      </c>
      <c r="B24">
        <v>4</v>
      </c>
      <c r="C24" t="s">
        <v>2574</v>
      </c>
    </row>
    <row r="25" spans="1:3" x14ac:dyDescent="0.25">
      <c r="A25" t="s">
        <v>2575</v>
      </c>
      <c r="B25">
        <v>4</v>
      </c>
      <c r="C25" t="s">
        <v>2576</v>
      </c>
    </row>
    <row r="26" spans="1:3" x14ac:dyDescent="0.25">
      <c r="A26" t="s">
        <v>2577</v>
      </c>
      <c r="B26">
        <v>4</v>
      </c>
      <c r="C26" t="s">
        <v>2578</v>
      </c>
    </row>
    <row r="27" spans="1:3" x14ac:dyDescent="0.25">
      <c r="A27" t="s">
        <v>2579</v>
      </c>
      <c r="B27">
        <v>4</v>
      </c>
      <c r="C27" t="s">
        <v>2580</v>
      </c>
    </row>
    <row r="28" spans="1:3" x14ac:dyDescent="0.25">
      <c r="A28" t="s">
        <v>2581</v>
      </c>
      <c r="B28">
        <v>4</v>
      </c>
      <c r="C28" t="s">
        <v>2582</v>
      </c>
    </row>
    <row r="29" spans="1:3" x14ac:dyDescent="0.25">
      <c r="A29" t="s">
        <v>2583</v>
      </c>
      <c r="B29">
        <v>4</v>
      </c>
      <c r="C29" t="s">
        <v>2584</v>
      </c>
    </row>
    <row r="30" spans="1:3" x14ac:dyDescent="0.25">
      <c r="A30" t="s">
        <v>2585</v>
      </c>
      <c r="B30">
        <v>4</v>
      </c>
      <c r="C30" t="s">
        <v>2586</v>
      </c>
    </row>
    <row r="31" spans="1:3" x14ac:dyDescent="0.25">
      <c r="A31" t="s">
        <v>2587</v>
      </c>
      <c r="B31">
        <v>4</v>
      </c>
      <c r="C31" t="s">
        <v>2588</v>
      </c>
    </row>
    <row r="32" spans="1:3" x14ac:dyDescent="0.25">
      <c r="A32" t="s">
        <v>2589</v>
      </c>
      <c r="B32">
        <v>4</v>
      </c>
      <c r="C32" t="s">
        <v>2590</v>
      </c>
    </row>
    <row r="33" spans="1:3" x14ac:dyDescent="0.25">
      <c r="A33" t="s">
        <v>2591</v>
      </c>
      <c r="B33">
        <v>4</v>
      </c>
      <c r="C33" t="s">
        <v>2592</v>
      </c>
    </row>
    <row r="34" spans="1:3" x14ac:dyDescent="0.25">
      <c r="A34" t="s">
        <v>2593</v>
      </c>
      <c r="B34">
        <v>4</v>
      </c>
      <c r="C34" t="s">
        <v>2594</v>
      </c>
    </row>
    <row r="35" spans="1:3" x14ac:dyDescent="0.25">
      <c r="A35" t="s">
        <v>2595</v>
      </c>
      <c r="B35">
        <v>4</v>
      </c>
      <c r="C35" t="s">
        <v>2596</v>
      </c>
    </row>
    <row r="36" spans="1:3" x14ac:dyDescent="0.25">
      <c r="A36" t="s">
        <v>2597</v>
      </c>
      <c r="B36">
        <v>4</v>
      </c>
      <c r="C36" t="s">
        <v>2598</v>
      </c>
    </row>
    <row r="37" spans="1:3" x14ac:dyDescent="0.25">
      <c r="A37" t="s">
        <v>2599</v>
      </c>
      <c r="B37">
        <v>4</v>
      </c>
      <c r="C37" t="s">
        <v>2600</v>
      </c>
    </row>
    <row r="38" spans="1:3" x14ac:dyDescent="0.25">
      <c r="A38" t="s">
        <v>2601</v>
      </c>
      <c r="B38">
        <v>4</v>
      </c>
      <c r="C38" t="s">
        <v>2602</v>
      </c>
    </row>
    <row r="39" spans="1:3" x14ac:dyDescent="0.25">
      <c r="A39" t="s">
        <v>2603</v>
      </c>
      <c r="B39">
        <v>4</v>
      </c>
      <c r="C39" t="s">
        <v>2604</v>
      </c>
    </row>
    <row r="40" spans="1:3" x14ac:dyDescent="0.25">
      <c r="A40" t="s">
        <v>2605</v>
      </c>
      <c r="B40">
        <v>4</v>
      </c>
      <c r="C40" t="s">
        <v>2606</v>
      </c>
    </row>
    <row r="41" spans="1:3" x14ac:dyDescent="0.25">
      <c r="A41" t="s">
        <v>2607</v>
      </c>
      <c r="B41">
        <v>4</v>
      </c>
      <c r="C41" t="s">
        <v>2608</v>
      </c>
    </row>
    <row r="42" spans="1:3" x14ac:dyDescent="0.25">
      <c r="A42" t="s">
        <v>2609</v>
      </c>
      <c r="B42">
        <v>4</v>
      </c>
      <c r="C42" t="s">
        <v>2610</v>
      </c>
    </row>
    <row r="43" spans="1:3" x14ac:dyDescent="0.25">
      <c r="A43" t="s">
        <v>2611</v>
      </c>
      <c r="B43">
        <v>4</v>
      </c>
      <c r="C43" t="s">
        <v>2612</v>
      </c>
    </row>
    <row r="44" spans="1:3" x14ac:dyDescent="0.25">
      <c r="A44" t="s">
        <v>2613</v>
      </c>
      <c r="B44">
        <v>4</v>
      </c>
      <c r="C44" t="s">
        <v>2614</v>
      </c>
    </row>
    <row r="45" spans="1:3" x14ac:dyDescent="0.25">
      <c r="A45" t="s">
        <v>2615</v>
      </c>
      <c r="B45">
        <v>4</v>
      </c>
      <c r="C45" t="s">
        <v>2616</v>
      </c>
    </row>
    <row r="46" spans="1:3" x14ac:dyDescent="0.25">
      <c r="A46" t="s">
        <v>2617</v>
      </c>
      <c r="B46">
        <v>4</v>
      </c>
      <c r="C46" t="s">
        <v>2618</v>
      </c>
    </row>
    <row r="47" spans="1:3" x14ac:dyDescent="0.25">
      <c r="A47" t="s">
        <v>2619</v>
      </c>
      <c r="B47">
        <v>4</v>
      </c>
      <c r="C47" t="s">
        <v>2620</v>
      </c>
    </row>
    <row r="48" spans="1:3" x14ac:dyDescent="0.25">
      <c r="A48" t="s">
        <v>2621</v>
      </c>
      <c r="B48">
        <v>4</v>
      </c>
      <c r="C48" t="s">
        <v>2622</v>
      </c>
    </row>
    <row r="49" spans="1:3" x14ac:dyDescent="0.25">
      <c r="A49" t="s">
        <v>2623</v>
      </c>
      <c r="B49">
        <v>4</v>
      </c>
      <c r="C49" t="s">
        <v>2624</v>
      </c>
    </row>
    <row r="50" spans="1:3" x14ac:dyDescent="0.25">
      <c r="A50" t="s">
        <v>2625</v>
      </c>
      <c r="B50">
        <v>4</v>
      </c>
      <c r="C50" t="s">
        <v>2626</v>
      </c>
    </row>
    <row r="51" spans="1:3" x14ac:dyDescent="0.25">
      <c r="A51" t="s">
        <v>2627</v>
      </c>
      <c r="B51">
        <v>4</v>
      </c>
      <c r="C51" t="s">
        <v>2628</v>
      </c>
    </row>
    <row r="52" spans="1:3" x14ac:dyDescent="0.25">
      <c r="A52" t="s">
        <v>2629</v>
      </c>
      <c r="B52">
        <v>4</v>
      </c>
      <c r="C52" t="s">
        <v>2630</v>
      </c>
    </row>
    <row r="53" spans="1:3" x14ac:dyDescent="0.25">
      <c r="A53" t="s">
        <v>2631</v>
      </c>
      <c r="B53">
        <v>4</v>
      </c>
      <c r="C53" t="s">
        <v>2632</v>
      </c>
    </row>
    <row r="54" spans="1:3" x14ac:dyDescent="0.25">
      <c r="A54" t="s">
        <v>2633</v>
      </c>
      <c r="B54">
        <v>4</v>
      </c>
      <c r="C54" t="s">
        <v>2634</v>
      </c>
    </row>
    <row r="55" spans="1:3" x14ac:dyDescent="0.25">
      <c r="A55" t="s">
        <v>2635</v>
      </c>
      <c r="B55">
        <v>4</v>
      </c>
      <c r="C55" t="s">
        <v>2636</v>
      </c>
    </row>
    <row r="56" spans="1:3" x14ac:dyDescent="0.25">
      <c r="A56" t="s">
        <v>2637</v>
      </c>
      <c r="B56">
        <v>4</v>
      </c>
      <c r="C56" t="s">
        <v>2638</v>
      </c>
    </row>
    <row r="57" spans="1:3" x14ac:dyDescent="0.25">
      <c r="A57" t="s">
        <v>2639</v>
      </c>
      <c r="B57">
        <v>4</v>
      </c>
      <c r="C57" t="s">
        <v>2640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19C44-07BC-404B-89CA-67E9656940F4}">
  <sheetPr codeName="Munka16"/>
  <dimension ref="A1:J303"/>
  <sheetViews>
    <sheetView workbookViewId="0">
      <selection activeCell="G47" sqref="G47"/>
    </sheetView>
  </sheetViews>
  <sheetFormatPr defaultRowHeight="15" x14ac:dyDescent="0.25"/>
  <cols>
    <col min="1" max="1" width="15.42578125" bestFit="1" customWidth="1"/>
    <col min="2" max="2" width="10.42578125" bestFit="1" customWidth="1"/>
    <col min="3" max="3" width="15.42578125" bestFit="1" customWidth="1"/>
    <col min="4" max="4" width="76.42578125" bestFit="1" customWidth="1"/>
    <col min="5" max="5" width="6.42578125" bestFit="1" customWidth="1"/>
    <col min="6" max="6" width="51.140625" bestFit="1" customWidth="1"/>
    <col min="7" max="7" width="6.42578125" bestFit="1" customWidth="1"/>
    <col min="8" max="8" width="43.140625" bestFit="1" customWidth="1"/>
    <col min="9" max="9" width="22.42578125" bestFit="1" customWidth="1"/>
    <col min="10" max="10" width="25.42578125" bestFit="1" customWidth="1"/>
  </cols>
  <sheetData>
    <row r="1" spans="1:10" x14ac:dyDescent="0.25">
      <c r="A1" t="s">
        <v>2449</v>
      </c>
      <c r="B1" t="s">
        <v>2450</v>
      </c>
      <c r="C1" t="s">
        <v>2451</v>
      </c>
      <c r="D1" t="s">
        <v>2670</v>
      </c>
      <c r="E1" t="s">
        <v>2452</v>
      </c>
      <c r="F1" t="s">
        <v>2453</v>
      </c>
      <c r="G1" t="s">
        <v>2454</v>
      </c>
      <c r="H1" t="s">
        <v>2671</v>
      </c>
      <c r="I1" t="s">
        <v>2672</v>
      </c>
      <c r="J1" t="s">
        <v>2673</v>
      </c>
    </row>
    <row r="2" spans="1:10" x14ac:dyDescent="0.25">
      <c r="A2" s="24">
        <v>46084.508287037039</v>
      </c>
      <c r="B2">
        <v>8</v>
      </c>
      <c r="C2" t="s">
        <v>2455</v>
      </c>
      <c r="D2" t="s">
        <v>2674</v>
      </c>
      <c r="E2">
        <v>1</v>
      </c>
      <c r="F2" t="s">
        <v>2456</v>
      </c>
      <c r="G2" t="s">
        <v>2446</v>
      </c>
      <c r="H2" t="s">
        <v>2675</v>
      </c>
      <c r="I2" t="s">
        <v>1336</v>
      </c>
      <c r="J2" t="s">
        <v>1341</v>
      </c>
    </row>
    <row r="3" spans="1:10" x14ac:dyDescent="0.25">
      <c r="A3" s="24">
        <v>46084.508298611108</v>
      </c>
      <c r="B3">
        <v>1</v>
      </c>
      <c r="C3" t="s">
        <v>2457</v>
      </c>
      <c r="D3" t="s">
        <v>2676</v>
      </c>
      <c r="E3">
        <v>1</v>
      </c>
      <c r="F3" t="s">
        <v>2458</v>
      </c>
      <c r="G3" t="s">
        <v>2446</v>
      </c>
      <c r="H3" t="s">
        <v>2677</v>
      </c>
      <c r="I3" t="s">
        <v>1162</v>
      </c>
      <c r="J3" t="s">
        <v>1168</v>
      </c>
    </row>
    <row r="4" spans="1:10" x14ac:dyDescent="0.25">
      <c r="A4" s="24">
        <v>46084.508310185185</v>
      </c>
      <c r="B4">
        <v>1</v>
      </c>
      <c r="C4" t="s">
        <v>2459</v>
      </c>
      <c r="D4" t="s">
        <v>2678</v>
      </c>
      <c r="E4">
        <v>1</v>
      </c>
      <c r="F4" t="s">
        <v>2460</v>
      </c>
      <c r="G4" t="s">
        <v>2446</v>
      </c>
      <c r="H4" t="s">
        <v>2679</v>
      </c>
      <c r="I4" t="s">
        <v>1183</v>
      </c>
      <c r="J4" t="s">
        <v>1187</v>
      </c>
    </row>
    <row r="5" spans="1:10" x14ac:dyDescent="0.25">
      <c r="A5" s="24">
        <v>46084.508321759262</v>
      </c>
      <c r="B5">
        <v>1</v>
      </c>
      <c r="C5" t="s">
        <v>2455</v>
      </c>
      <c r="D5" t="s">
        <v>2680</v>
      </c>
      <c r="E5">
        <v>1</v>
      </c>
      <c r="F5" t="s">
        <v>2461</v>
      </c>
      <c r="G5" t="s">
        <v>2446</v>
      </c>
      <c r="H5" t="s">
        <v>2681</v>
      </c>
      <c r="I5" t="s">
        <v>1197</v>
      </c>
      <c r="J5" t="s">
        <v>1201</v>
      </c>
    </row>
    <row r="6" spans="1:10" x14ac:dyDescent="0.25">
      <c r="A6" s="24">
        <v>46084.508333333331</v>
      </c>
      <c r="B6">
        <v>2</v>
      </c>
      <c r="C6" t="s">
        <v>2455</v>
      </c>
      <c r="D6" t="s">
        <v>2682</v>
      </c>
      <c r="E6">
        <v>1</v>
      </c>
      <c r="F6" t="s">
        <v>2462</v>
      </c>
      <c r="G6" t="s">
        <v>2446</v>
      </c>
      <c r="H6" t="s">
        <v>2683</v>
      </c>
      <c r="I6" t="s">
        <v>1215</v>
      </c>
      <c r="J6" t="s">
        <v>1220</v>
      </c>
    </row>
    <row r="7" spans="1:10" x14ac:dyDescent="0.25">
      <c r="A7" s="24">
        <v>46084.508356481485</v>
      </c>
      <c r="B7">
        <v>7</v>
      </c>
      <c r="C7" t="s">
        <v>2455</v>
      </c>
      <c r="D7" t="s">
        <v>2684</v>
      </c>
      <c r="E7">
        <v>1</v>
      </c>
      <c r="F7" t="s">
        <v>2463</v>
      </c>
      <c r="G7" t="s">
        <v>2446</v>
      </c>
      <c r="H7" t="s">
        <v>2685</v>
      </c>
      <c r="I7" t="s">
        <v>1318</v>
      </c>
      <c r="J7" t="s">
        <v>1325</v>
      </c>
    </row>
    <row r="8" spans="1:10" x14ac:dyDescent="0.25">
      <c r="A8" s="24">
        <v>46084.508368055554</v>
      </c>
      <c r="B8">
        <v>3</v>
      </c>
      <c r="C8" t="s">
        <v>2455</v>
      </c>
      <c r="D8" t="s">
        <v>2686</v>
      </c>
      <c r="E8">
        <v>1</v>
      </c>
      <c r="F8" t="s">
        <v>2464</v>
      </c>
      <c r="G8" t="s">
        <v>2446</v>
      </c>
      <c r="H8" t="s">
        <v>2687</v>
      </c>
      <c r="I8" t="s">
        <v>1242</v>
      </c>
      <c r="J8" t="s">
        <v>1248</v>
      </c>
    </row>
    <row r="9" spans="1:10" x14ac:dyDescent="0.25">
      <c r="A9" s="24">
        <v>46084.508379629631</v>
      </c>
      <c r="B9">
        <v>4</v>
      </c>
      <c r="C9" t="s">
        <v>2455</v>
      </c>
      <c r="D9" t="s">
        <v>2688</v>
      </c>
      <c r="E9">
        <v>1</v>
      </c>
      <c r="F9" t="s">
        <v>2465</v>
      </c>
      <c r="G9" t="s">
        <v>2446</v>
      </c>
      <c r="H9" t="s">
        <v>2689</v>
      </c>
      <c r="I9" t="s">
        <v>1262</v>
      </c>
      <c r="J9" t="s">
        <v>1267</v>
      </c>
    </row>
    <row r="10" spans="1:10" x14ac:dyDescent="0.25">
      <c r="A10" s="24">
        <v>46084.508391203701</v>
      </c>
      <c r="B10">
        <v>5</v>
      </c>
      <c r="C10" t="s">
        <v>2455</v>
      </c>
      <c r="D10" t="s">
        <v>2690</v>
      </c>
      <c r="E10">
        <v>1</v>
      </c>
      <c r="F10" t="s">
        <v>2466</v>
      </c>
      <c r="G10" t="s">
        <v>2446</v>
      </c>
      <c r="H10" t="s">
        <v>2691</v>
      </c>
      <c r="I10" t="s">
        <v>1282</v>
      </c>
      <c r="J10" t="s">
        <v>1288</v>
      </c>
    </row>
    <row r="11" spans="1:10" x14ac:dyDescent="0.25">
      <c r="A11" s="24">
        <v>46084.508402777778</v>
      </c>
      <c r="B11">
        <v>6</v>
      </c>
      <c r="C11" t="s">
        <v>2455</v>
      </c>
      <c r="D11" t="s">
        <v>2692</v>
      </c>
      <c r="E11">
        <v>1</v>
      </c>
      <c r="F11" t="s">
        <v>2467</v>
      </c>
      <c r="G11" t="s">
        <v>2446</v>
      </c>
      <c r="H11" t="s">
        <v>2693</v>
      </c>
      <c r="I11" t="s">
        <v>1302</v>
      </c>
      <c r="J11" t="s">
        <v>2694</v>
      </c>
    </row>
    <row r="12" spans="1:10" x14ac:dyDescent="0.25">
      <c r="A12" s="24">
        <v>46084.508414351854</v>
      </c>
      <c r="B12">
        <v>1</v>
      </c>
      <c r="C12" t="s">
        <v>2468</v>
      </c>
      <c r="D12" t="s">
        <v>2695</v>
      </c>
      <c r="E12">
        <v>1</v>
      </c>
      <c r="F12" t="s">
        <v>2469</v>
      </c>
      <c r="G12" t="s">
        <v>2446</v>
      </c>
      <c r="H12" t="s">
        <v>2696</v>
      </c>
      <c r="I12" t="s">
        <v>1450</v>
      </c>
      <c r="J12" t="s">
        <v>1501</v>
      </c>
    </row>
    <row r="13" spans="1:10" x14ac:dyDescent="0.25">
      <c r="A13" s="24">
        <v>46084.508425925924</v>
      </c>
      <c r="B13">
        <v>1</v>
      </c>
      <c r="C13" t="s">
        <v>2470</v>
      </c>
      <c r="D13" t="s">
        <v>2697</v>
      </c>
      <c r="E13">
        <v>1</v>
      </c>
      <c r="F13" t="s">
        <v>2471</v>
      </c>
      <c r="G13" t="s">
        <v>2446</v>
      </c>
      <c r="H13" t="s">
        <v>2698</v>
      </c>
      <c r="I13" t="s">
        <v>1579</v>
      </c>
      <c r="J13" t="s">
        <v>2166</v>
      </c>
    </row>
    <row r="14" spans="1:10" x14ac:dyDescent="0.25">
      <c r="A14" s="24">
        <v>46084.508449074077</v>
      </c>
      <c r="B14">
        <v>9</v>
      </c>
      <c r="C14" t="s">
        <v>2455</v>
      </c>
      <c r="D14" t="s">
        <v>2699</v>
      </c>
      <c r="E14">
        <v>1</v>
      </c>
      <c r="F14" t="s">
        <v>2472</v>
      </c>
      <c r="G14" t="s">
        <v>2446</v>
      </c>
      <c r="H14" t="s">
        <v>2700</v>
      </c>
      <c r="I14" t="s">
        <v>2701</v>
      </c>
      <c r="J14" t="s">
        <v>1366</v>
      </c>
    </row>
    <row r="15" spans="1:10" x14ac:dyDescent="0.25">
      <c r="A15" s="24">
        <v>46084.508460648147</v>
      </c>
      <c r="B15">
        <v>1</v>
      </c>
      <c r="C15" t="s">
        <v>2473</v>
      </c>
      <c r="D15" t="s">
        <v>2702</v>
      </c>
      <c r="E15">
        <v>1</v>
      </c>
      <c r="F15" t="s">
        <v>2474</v>
      </c>
      <c r="G15" t="s">
        <v>2446</v>
      </c>
      <c r="H15" t="s">
        <v>2703</v>
      </c>
      <c r="I15" t="s">
        <v>1377</v>
      </c>
      <c r="J15" t="s">
        <v>1381</v>
      </c>
    </row>
    <row r="16" spans="1:10" x14ac:dyDescent="0.25">
      <c r="A16" s="24">
        <v>46084.508472222224</v>
      </c>
      <c r="B16">
        <v>2</v>
      </c>
      <c r="C16" t="s">
        <v>2473</v>
      </c>
      <c r="D16" t="s">
        <v>2704</v>
      </c>
      <c r="E16">
        <v>1</v>
      </c>
      <c r="F16" t="s">
        <v>2475</v>
      </c>
      <c r="G16" t="s">
        <v>2446</v>
      </c>
      <c r="H16" t="s">
        <v>2705</v>
      </c>
      <c r="I16" t="s">
        <v>1402</v>
      </c>
      <c r="J16" t="s">
        <v>1408</v>
      </c>
    </row>
    <row r="17" spans="1:10" x14ac:dyDescent="0.25">
      <c r="A17" s="24">
        <v>46084.508483796293</v>
      </c>
      <c r="B17">
        <v>2</v>
      </c>
      <c r="C17" t="s">
        <v>2660</v>
      </c>
      <c r="D17" t="s">
        <v>2706</v>
      </c>
      <c r="E17">
        <v>1</v>
      </c>
      <c r="F17" t="s">
        <v>2661</v>
      </c>
      <c r="G17" t="s">
        <v>2446</v>
      </c>
      <c r="H17" t="s">
        <v>2707</v>
      </c>
      <c r="I17" t="s">
        <v>1600</v>
      </c>
      <c r="J17" t="s">
        <v>2013</v>
      </c>
    </row>
    <row r="18" spans="1:10" x14ac:dyDescent="0.25">
      <c r="A18" s="24">
        <v>46084.50849537037</v>
      </c>
      <c r="B18">
        <v>3</v>
      </c>
      <c r="C18" t="s">
        <v>2473</v>
      </c>
      <c r="D18" t="s">
        <v>2708</v>
      </c>
      <c r="E18">
        <v>1</v>
      </c>
      <c r="F18" t="s">
        <v>2480</v>
      </c>
      <c r="G18" t="s">
        <v>2446</v>
      </c>
      <c r="H18" t="s">
        <v>2709</v>
      </c>
      <c r="I18" t="s">
        <v>1422</v>
      </c>
      <c r="J18" t="s">
        <v>1427</v>
      </c>
    </row>
    <row r="19" spans="1:10" x14ac:dyDescent="0.25">
      <c r="A19" s="24">
        <v>46084.508506944447</v>
      </c>
      <c r="B19">
        <v>5</v>
      </c>
      <c r="C19" t="s">
        <v>2473</v>
      </c>
      <c r="D19" t="s">
        <v>2710</v>
      </c>
      <c r="E19">
        <v>1</v>
      </c>
      <c r="F19" t="s">
        <v>2481</v>
      </c>
      <c r="G19" t="s">
        <v>2446</v>
      </c>
      <c r="H19" t="s">
        <v>2711</v>
      </c>
      <c r="I19" t="s">
        <v>795</v>
      </c>
      <c r="J19" t="s">
        <v>1473</v>
      </c>
    </row>
    <row r="20" spans="1:10" x14ac:dyDescent="0.25">
      <c r="A20" s="24">
        <v>46084.508530092593</v>
      </c>
      <c r="B20">
        <v>4</v>
      </c>
      <c r="C20" t="s">
        <v>2473</v>
      </c>
      <c r="D20" t="s">
        <v>2712</v>
      </c>
      <c r="E20">
        <v>1</v>
      </c>
      <c r="F20" t="s">
        <v>2482</v>
      </c>
      <c r="G20" t="s">
        <v>2446</v>
      </c>
      <c r="H20" t="s">
        <v>2713</v>
      </c>
      <c r="I20" t="s">
        <v>2714</v>
      </c>
      <c r="J20" t="s">
        <v>1453</v>
      </c>
    </row>
    <row r="21" spans="1:10" x14ac:dyDescent="0.25">
      <c r="A21" s="24">
        <v>46084.50854166667</v>
      </c>
      <c r="B21">
        <v>1</v>
      </c>
      <c r="C21" t="s">
        <v>2662</v>
      </c>
      <c r="D21" t="s">
        <v>2715</v>
      </c>
      <c r="E21">
        <v>1</v>
      </c>
      <c r="F21" t="s">
        <v>2663</v>
      </c>
      <c r="G21" t="s">
        <v>2446</v>
      </c>
      <c r="H21" t="s">
        <v>2716</v>
      </c>
      <c r="I21" t="s">
        <v>1532</v>
      </c>
      <c r="J21" t="s">
        <v>1540</v>
      </c>
    </row>
    <row r="22" spans="1:10" x14ac:dyDescent="0.25">
      <c r="A22" s="24">
        <v>46084.508553240739</v>
      </c>
      <c r="B22">
        <v>6</v>
      </c>
      <c r="C22" t="s">
        <v>2473</v>
      </c>
      <c r="D22" t="s">
        <v>2717</v>
      </c>
      <c r="E22">
        <v>1</v>
      </c>
      <c r="F22" t="s">
        <v>2483</v>
      </c>
      <c r="G22" t="s">
        <v>2446</v>
      </c>
      <c r="H22" t="s">
        <v>2718</v>
      </c>
      <c r="I22" t="s">
        <v>1478</v>
      </c>
      <c r="J22" t="s">
        <v>1483</v>
      </c>
    </row>
    <row r="23" spans="1:10" x14ac:dyDescent="0.25">
      <c r="A23" s="24">
        <v>46084.508564814816</v>
      </c>
      <c r="B23">
        <v>7</v>
      </c>
      <c r="C23" t="s">
        <v>2473</v>
      </c>
      <c r="D23" t="s">
        <v>2719</v>
      </c>
      <c r="E23">
        <v>1</v>
      </c>
      <c r="F23" t="s">
        <v>2484</v>
      </c>
      <c r="G23" t="s">
        <v>2446</v>
      </c>
      <c r="H23" t="s">
        <v>2720</v>
      </c>
      <c r="I23" t="s">
        <v>1509</v>
      </c>
      <c r="J23" t="s">
        <v>1514</v>
      </c>
    </row>
    <row r="24" spans="1:10" x14ac:dyDescent="0.25">
      <c r="A24" s="24">
        <v>46084.508587962962</v>
      </c>
      <c r="B24">
        <v>8</v>
      </c>
      <c r="C24" t="s">
        <v>2473</v>
      </c>
      <c r="D24" t="s">
        <v>2721</v>
      </c>
      <c r="E24">
        <v>1</v>
      </c>
      <c r="F24" t="s">
        <v>2485</v>
      </c>
      <c r="G24" t="s">
        <v>2446</v>
      </c>
      <c r="H24" t="s">
        <v>2722</v>
      </c>
      <c r="I24" t="s">
        <v>1527</v>
      </c>
      <c r="J24" t="s">
        <v>2723</v>
      </c>
    </row>
    <row r="25" spans="1:10" x14ac:dyDescent="0.25">
      <c r="A25" s="24">
        <v>46084.508599537039</v>
      </c>
      <c r="B25">
        <v>9</v>
      </c>
      <c r="C25" t="s">
        <v>2473</v>
      </c>
      <c r="D25" t="s">
        <v>2724</v>
      </c>
      <c r="E25">
        <v>1</v>
      </c>
      <c r="F25" t="s">
        <v>2486</v>
      </c>
      <c r="G25" t="s">
        <v>2446</v>
      </c>
      <c r="H25" t="s">
        <v>2725</v>
      </c>
      <c r="I25" t="s">
        <v>1550</v>
      </c>
      <c r="J25" t="s">
        <v>1560</v>
      </c>
    </row>
    <row r="26" spans="1:10" x14ac:dyDescent="0.25">
      <c r="A26" s="24">
        <v>46084.508611111109</v>
      </c>
      <c r="B26">
        <v>7</v>
      </c>
      <c r="C26" t="s">
        <v>2487</v>
      </c>
      <c r="D26" t="s">
        <v>2726</v>
      </c>
      <c r="E26">
        <v>1</v>
      </c>
      <c r="F26" t="s">
        <v>2488</v>
      </c>
      <c r="G26" t="s">
        <v>2446</v>
      </c>
      <c r="H26" t="s">
        <v>2727</v>
      </c>
      <c r="I26" t="s">
        <v>1738</v>
      </c>
      <c r="J26" t="s">
        <v>1742</v>
      </c>
    </row>
    <row r="27" spans="1:10" x14ac:dyDescent="0.25">
      <c r="A27" s="24">
        <v>46084.508622685185</v>
      </c>
      <c r="B27">
        <v>1</v>
      </c>
      <c r="C27" t="s">
        <v>2487</v>
      </c>
      <c r="D27" t="s">
        <v>2728</v>
      </c>
      <c r="E27">
        <v>1</v>
      </c>
      <c r="F27" t="s">
        <v>2489</v>
      </c>
      <c r="G27" t="s">
        <v>2446</v>
      </c>
      <c r="H27" t="s">
        <v>2729</v>
      </c>
      <c r="I27" t="s">
        <v>1605</v>
      </c>
      <c r="J27" t="s">
        <v>1610</v>
      </c>
    </row>
    <row r="28" spans="1:10" x14ac:dyDescent="0.25">
      <c r="A28" s="24">
        <v>46084.508634259262</v>
      </c>
      <c r="B28">
        <v>1</v>
      </c>
      <c r="C28" t="s">
        <v>2664</v>
      </c>
      <c r="D28" t="s">
        <v>2730</v>
      </c>
      <c r="E28">
        <v>1</v>
      </c>
      <c r="F28" t="s">
        <v>2665</v>
      </c>
      <c r="G28" t="s">
        <v>2446</v>
      </c>
      <c r="H28" t="s">
        <v>2731</v>
      </c>
      <c r="I28" t="s">
        <v>2732</v>
      </c>
      <c r="J28" t="s">
        <v>1840</v>
      </c>
    </row>
    <row r="29" spans="1:10" x14ac:dyDescent="0.25">
      <c r="A29" s="24">
        <v>46084.508657407408</v>
      </c>
      <c r="B29">
        <v>2</v>
      </c>
      <c r="C29" t="s">
        <v>2487</v>
      </c>
      <c r="D29" t="s">
        <v>2733</v>
      </c>
      <c r="E29">
        <v>1</v>
      </c>
      <c r="F29" t="s">
        <v>2490</v>
      </c>
      <c r="G29" t="s">
        <v>2446</v>
      </c>
      <c r="H29" t="s">
        <v>2734</v>
      </c>
      <c r="I29" t="s">
        <v>1630</v>
      </c>
      <c r="J29" t="s">
        <v>1635</v>
      </c>
    </row>
    <row r="30" spans="1:10" x14ac:dyDescent="0.25">
      <c r="A30" s="24">
        <v>46084.508668981478</v>
      </c>
      <c r="B30">
        <v>3</v>
      </c>
      <c r="C30" t="s">
        <v>2487</v>
      </c>
      <c r="D30" t="s">
        <v>2735</v>
      </c>
      <c r="E30">
        <v>1</v>
      </c>
      <c r="F30" t="s">
        <v>2491</v>
      </c>
      <c r="G30" t="s">
        <v>2446</v>
      </c>
      <c r="H30" t="s">
        <v>2736</v>
      </c>
      <c r="I30" t="s">
        <v>1648</v>
      </c>
      <c r="J30" t="s">
        <v>1657</v>
      </c>
    </row>
    <row r="31" spans="1:10" x14ac:dyDescent="0.25">
      <c r="A31" s="24">
        <v>46084.508680555555</v>
      </c>
      <c r="B31">
        <v>4</v>
      </c>
      <c r="C31" t="s">
        <v>2487</v>
      </c>
      <c r="D31" t="s">
        <v>2737</v>
      </c>
      <c r="E31">
        <v>1</v>
      </c>
      <c r="F31" t="s">
        <v>2492</v>
      </c>
      <c r="G31" t="s">
        <v>2446</v>
      </c>
      <c r="H31" t="s">
        <v>2738</v>
      </c>
      <c r="I31" t="s">
        <v>1672</v>
      </c>
      <c r="J31" t="s">
        <v>1676</v>
      </c>
    </row>
    <row r="32" spans="1:10" x14ac:dyDescent="0.25">
      <c r="A32" s="24">
        <v>46084.508692129632</v>
      </c>
      <c r="B32">
        <v>2</v>
      </c>
      <c r="C32" t="s">
        <v>2468</v>
      </c>
      <c r="D32" t="s">
        <v>2739</v>
      </c>
      <c r="E32">
        <v>1</v>
      </c>
      <c r="F32" t="s">
        <v>2493</v>
      </c>
      <c r="G32" t="s">
        <v>2446</v>
      </c>
      <c r="H32" t="s">
        <v>2740</v>
      </c>
      <c r="I32" t="s">
        <v>2122</v>
      </c>
      <c r="J32" t="s">
        <v>2305</v>
      </c>
    </row>
    <row r="33" spans="1:10" x14ac:dyDescent="0.25">
      <c r="A33" s="24">
        <v>46084.508703703701</v>
      </c>
      <c r="B33">
        <v>5</v>
      </c>
      <c r="C33" t="s">
        <v>2487</v>
      </c>
      <c r="D33" t="s">
        <v>2741</v>
      </c>
      <c r="E33">
        <v>1</v>
      </c>
      <c r="F33" t="s">
        <v>2494</v>
      </c>
      <c r="G33" t="s">
        <v>2446</v>
      </c>
      <c r="H33" t="s">
        <v>2742</v>
      </c>
      <c r="I33" t="s">
        <v>1694</v>
      </c>
      <c r="J33" t="s">
        <v>1698</v>
      </c>
    </row>
    <row r="34" spans="1:10" x14ac:dyDescent="0.25">
      <c r="A34" s="24">
        <v>46084.508726851855</v>
      </c>
      <c r="B34">
        <v>6</v>
      </c>
      <c r="C34" t="s">
        <v>2487</v>
      </c>
      <c r="D34" t="s">
        <v>2743</v>
      </c>
      <c r="E34">
        <v>1</v>
      </c>
      <c r="F34" t="s">
        <v>2495</v>
      </c>
      <c r="G34" t="s">
        <v>2446</v>
      </c>
      <c r="H34" t="s">
        <v>2744</v>
      </c>
      <c r="I34" t="s">
        <v>1718</v>
      </c>
      <c r="J34" t="s">
        <v>1722</v>
      </c>
    </row>
    <row r="35" spans="1:10" x14ac:dyDescent="0.25">
      <c r="A35" s="24">
        <v>46084.508738425924</v>
      </c>
      <c r="B35">
        <v>1</v>
      </c>
      <c r="C35" t="s">
        <v>2666</v>
      </c>
      <c r="D35" t="s">
        <v>1711</v>
      </c>
      <c r="E35">
        <v>1</v>
      </c>
      <c r="F35" t="s">
        <v>2667</v>
      </c>
      <c r="G35" t="s">
        <v>2446</v>
      </c>
      <c r="H35" t="s">
        <v>1711</v>
      </c>
    </row>
    <row r="36" spans="1:10" x14ac:dyDescent="0.25">
      <c r="A36" s="24">
        <v>46084.508750000001</v>
      </c>
      <c r="B36">
        <v>8</v>
      </c>
      <c r="C36" t="s">
        <v>2487</v>
      </c>
      <c r="D36" t="s">
        <v>2745</v>
      </c>
      <c r="E36">
        <v>1</v>
      </c>
      <c r="F36" t="s">
        <v>2496</v>
      </c>
      <c r="G36" t="s">
        <v>2446</v>
      </c>
      <c r="H36" t="s">
        <v>2746</v>
      </c>
      <c r="I36" t="s">
        <v>1760</v>
      </c>
      <c r="J36" t="s">
        <v>1766</v>
      </c>
    </row>
    <row r="37" spans="1:10" x14ac:dyDescent="0.25">
      <c r="A37" s="24">
        <v>46084.508761574078</v>
      </c>
      <c r="B37">
        <v>9</v>
      </c>
      <c r="C37" t="s">
        <v>2487</v>
      </c>
      <c r="D37" t="s">
        <v>2747</v>
      </c>
      <c r="E37">
        <v>1</v>
      </c>
      <c r="F37" t="s">
        <v>2497</v>
      </c>
      <c r="G37" t="s">
        <v>2446</v>
      </c>
      <c r="H37" t="s">
        <v>2748</v>
      </c>
      <c r="I37" t="s">
        <v>1785</v>
      </c>
      <c r="J37" t="s">
        <v>1790</v>
      </c>
    </row>
    <row r="38" spans="1:10" x14ac:dyDescent="0.25">
      <c r="A38" s="24">
        <v>46084.508773148147</v>
      </c>
      <c r="B38">
        <v>1</v>
      </c>
      <c r="C38" t="s">
        <v>2498</v>
      </c>
      <c r="D38" t="s">
        <v>2749</v>
      </c>
      <c r="E38">
        <v>1</v>
      </c>
      <c r="F38" t="s">
        <v>2499</v>
      </c>
      <c r="G38" t="s">
        <v>2446</v>
      </c>
      <c r="H38" t="s">
        <v>2750</v>
      </c>
      <c r="I38" t="s">
        <v>1812</v>
      </c>
      <c r="J38" t="s">
        <v>1816</v>
      </c>
    </row>
    <row r="39" spans="1:10" x14ac:dyDescent="0.25">
      <c r="A39" s="24">
        <v>46084.508796296293</v>
      </c>
      <c r="B39">
        <v>2</v>
      </c>
      <c r="C39" t="s">
        <v>2498</v>
      </c>
      <c r="D39" t="s">
        <v>2751</v>
      </c>
      <c r="E39">
        <v>1</v>
      </c>
      <c r="F39" t="s">
        <v>2500</v>
      </c>
      <c r="G39" t="s">
        <v>2446</v>
      </c>
      <c r="H39" t="s">
        <v>2752</v>
      </c>
      <c r="I39" t="s">
        <v>1830</v>
      </c>
      <c r="J39" t="s">
        <v>1835</v>
      </c>
    </row>
    <row r="40" spans="1:10" x14ac:dyDescent="0.25">
      <c r="A40" s="24">
        <v>46084.50880787037</v>
      </c>
      <c r="B40">
        <v>3</v>
      </c>
      <c r="C40" t="s">
        <v>2498</v>
      </c>
      <c r="D40" t="s">
        <v>2753</v>
      </c>
      <c r="E40">
        <v>1</v>
      </c>
      <c r="F40" t="s">
        <v>2501</v>
      </c>
      <c r="G40" t="s">
        <v>2446</v>
      </c>
      <c r="H40" t="s">
        <v>2754</v>
      </c>
      <c r="I40" t="s">
        <v>1862</v>
      </c>
      <c r="J40" t="s">
        <v>1867</v>
      </c>
    </row>
    <row r="41" spans="1:10" x14ac:dyDescent="0.25">
      <c r="A41" s="24">
        <v>46084.508819444447</v>
      </c>
      <c r="B41">
        <v>4</v>
      </c>
      <c r="C41" t="s">
        <v>2498</v>
      </c>
      <c r="D41" t="s">
        <v>2755</v>
      </c>
      <c r="E41">
        <v>1</v>
      </c>
      <c r="F41" t="s">
        <v>2502</v>
      </c>
      <c r="G41" t="s">
        <v>2446</v>
      </c>
      <c r="H41" t="s">
        <v>2756</v>
      </c>
      <c r="I41" t="s">
        <v>1883</v>
      </c>
      <c r="J41" t="s">
        <v>1891</v>
      </c>
    </row>
    <row r="42" spans="1:10" x14ac:dyDescent="0.25">
      <c r="A42" s="24">
        <v>46084.508831018517</v>
      </c>
      <c r="B42">
        <v>1</v>
      </c>
      <c r="C42" t="s">
        <v>2660</v>
      </c>
      <c r="D42" t="s">
        <v>2757</v>
      </c>
      <c r="E42">
        <v>1</v>
      </c>
      <c r="F42" t="s">
        <v>2668</v>
      </c>
      <c r="G42" t="s">
        <v>2446</v>
      </c>
      <c r="H42" t="s">
        <v>2758</v>
      </c>
      <c r="I42" t="s">
        <v>1920</v>
      </c>
      <c r="J42" t="s">
        <v>1973</v>
      </c>
    </row>
    <row r="43" spans="1:10" x14ac:dyDescent="0.25">
      <c r="A43" s="24">
        <v>46084.508842592593</v>
      </c>
      <c r="B43">
        <v>5</v>
      </c>
      <c r="C43" t="s">
        <v>2498</v>
      </c>
      <c r="D43" t="s">
        <v>2759</v>
      </c>
      <c r="E43">
        <v>1</v>
      </c>
      <c r="F43" t="s">
        <v>2503</v>
      </c>
      <c r="G43" t="s">
        <v>2446</v>
      </c>
      <c r="H43" t="s">
        <v>2760</v>
      </c>
      <c r="I43" t="s">
        <v>1906</v>
      </c>
      <c r="J43" t="s">
        <v>1915</v>
      </c>
    </row>
    <row r="44" spans="1:10" x14ac:dyDescent="0.25">
      <c r="A44" s="24">
        <v>46084.50885416667</v>
      </c>
      <c r="B44">
        <v>6</v>
      </c>
      <c r="C44" t="s">
        <v>2498</v>
      </c>
      <c r="D44" t="s">
        <v>2761</v>
      </c>
      <c r="E44">
        <v>1</v>
      </c>
      <c r="F44" t="s">
        <v>2504</v>
      </c>
      <c r="G44" t="s">
        <v>2446</v>
      </c>
      <c r="H44" t="s">
        <v>2762</v>
      </c>
      <c r="I44" t="s">
        <v>1938</v>
      </c>
      <c r="J44" t="s">
        <v>1944</v>
      </c>
    </row>
    <row r="45" spans="1:10" x14ac:dyDescent="0.25">
      <c r="A45" s="24">
        <v>46084.508877314816</v>
      </c>
      <c r="B45">
        <v>7</v>
      </c>
      <c r="C45" t="s">
        <v>2498</v>
      </c>
      <c r="D45" t="s">
        <v>2763</v>
      </c>
      <c r="E45">
        <v>1</v>
      </c>
      <c r="F45" t="s">
        <v>2505</v>
      </c>
      <c r="G45" t="s">
        <v>2446</v>
      </c>
      <c r="H45" t="s">
        <v>2764</v>
      </c>
      <c r="I45" t="s">
        <v>1958</v>
      </c>
      <c r="J45" t="s">
        <v>1968</v>
      </c>
    </row>
    <row r="46" spans="1:10" x14ac:dyDescent="0.25">
      <c r="A46" s="24">
        <v>46084.508888888886</v>
      </c>
      <c r="B46">
        <v>8</v>
      </c>
      <c r="C46" t="s">
        <v>2498</v>
      </c>
      <c r="D46" t="s">
        <v>2765</v>
      </c>
      <c r="E46">
        <v>1</v>
      </c>
      <c r="F46" t="s">
        <v>2506</v>
      </c>
      <c r="G46" t="s">
        <v>2446</v>
      </c>
      <c r="H46" t="s">
        <v>2766</v>
      </c>
      <c r="I46" t="s">
        <v>1984</v>
      </c>
      <c r="J46" t="s">
        <v>1989</v>
      </c>
    </row>
    <row r="47" spans="1:10" x14ac:dyDescent="0.25">
      <c r="A47" s="24">
        <v>46084.508900462963</v>
      </c>
      <c r="B47">
        <v>9</v>
      </c>
      <c r="C47" t="s">
        <v>2498</v>
      </c>
      <c r="D47" t="s">
        <v>2767</v>
      </c>
      <c r="E47">
        <v>1</v>
      </c>
      <c r="F47" t="s">
        <v>2507</v>
      </c>
      <c r="G47" t="s">
        <v>2446</v>
      </c>
      <c r="H47" t="s">
        <v>2768</v>
      </c>
      <c r="I47" t="s">
        <v>2009</v>
      </c>
      <c r="J47" t="s">
        <v>2018</v>
      </c>
    </row>
    <row r="48" spans="1:10" x14ac:dyDescent="0.25">
      <c r="A48" s="24">
        <v>46084.508912037039</v>
      </c>
      <c r="B48">
        <v>1</v>
      </c>
      <c r="C48" t="s">
        <v>2508</v>
      </c>
      <c r="D48" t="s">
        <v>2769</v>
      </c>
      <c r="E48">
        <v>1</v>
      </c>
      <c r="F48" t="s">
        <v>2509</v>
      </c>
      <c r="G48" t="s">
        <v>2446</v>
      </c>
      <c r="H48" t="s">
        <v>2770</v>
      </c>
      <c r="I48" t="s">
        <v>2033</v>
      </c>
      <c r="J48" t="s">
        <v>2038</v>
      </c>
    </row>
    <row r="49" spans="1:10" x14ac:dyDescent="0.25">
      <c r="A49" s="24">
        <v>46084.508923611109</v>
      </c>
      <c r="B49">
        <v>2</v>
      </c>
      <c r="C49" t="s">
        <v>2508</v>
      </c>
      <c r="D49" t="s">
        <v>2771</v>
      </c>
      <c r="E49">
        <v>1</v>
      </c>
      <c r="F49" t="s">
        <v>2510</v>
      </c>
      <c r="G49" t="s">
        <v>2446</v>
      </c>
      <c r="H49" t="s">
        <v>2772</v>
      </c>
      <c r="I49" t="s">
        <v>2059</v>
      </c>
      <c r="J49" t="s">
        <v>2773</v>
      </c>
    </row>
    <row r="50" spans="1:10" x14ac:dyDescent="0.25">
      <c r="A50" s="24">
        <v>46084.508946759262</v>
      </c>
      <c r="B50">
        <v>3</v>
      </c>
      <c r="C50" t="s">
        <v>2508</v>
      </c>
      <c r="D50" t="s">
        <v>2774</v>
      </c>
      <c r="E50">
        <v>1</v>
      </c>
      <c r="F50" t="s">
        <v>2511</v>
      </c>
      <c r="G50" t="s">
        <v>2446</v>
      </c>
      <c r="H50" t="s">
        <v>2775</v>
      </c>
      <c r="I50" t="s">
        <v>2085</v>
      </c>
      <c r="J50" t="s">
        <v>2089</v>
      </c>
    </row>
    <row r="51" spans="1:10" x14ac:dyDescent="0.25">
      <c r="A51" s="24">
        <v>46084.508958333332</v>
      </c>
      <c r="B51">
        <v>9</v>
      </c>
      <c r="C51" t="s">
        <v>2508</v>
      </c>
      <c r="D51" t="s">
        <v>2776</v>
      </c>
      <c r="E51">
        <v>1</v>
      </c>
      <c r="F51" t="s">
        <v>2512</v>
      </c>
      <c r="G51" t="s">
        <v>2446</v>
      </c>
      <c r="H51" t="s">
        <v>2777</v>
      </c>
      <c r="I51" t="s">
        <v>2206</v>
      </c>
      <c r="J51" t="s">
        <v>2211</v>
      </c>
    </row>
    <row r="52" spans="1:10" x14ac:dyDescent="0.25">
      <c r="A52" s="24">
        <v>46084.508969907409</v>
      </c>
      <c r="B52">
        <v>4</v>
      </c>
      <c r="C52" t="s">
        <v>2508</v>
      </c>
      <c r="D52" t="s">
        <v>2778</v>
      </c>
      <c r="E52">
        <v>1</v>
      </c>
      <c r="F52" t="s">
        <v>2513</v>
      </c>
      <c r="G52" t="s">
        <v>2446</v>
      </c>
      <c r="H52" t="s">
        <v>2779</v>
      </c>
      <c r="I52" t="s">
        <v>2103</v>
      </c>
      <c r="J52" t="s">
        <v>2108</v>
      </c>
    </row>
    <row r="53" spans="1:10" x14ac:dyDescent="0.25">
      <c r="A53" s="24">
        <v>46084.508981481478</v>
      </c>
      <c r="B53">
        <v>7</v>
      </c>
      <c r="C53" t="s">
        <v>2508</v>
      </c>
      <c r="D53" t="s">
        <v>2780</v>
      </c>
      <c r="E53">
        <v>1</v>
      </c>
      <c r="F53" t="s">
        <v>2514</v>
      </c>
      <c r="G53" t="s">
        <v>2446</v>
      </c>
      <c r="H53" t="s">
        <v>2781</v>
      </c>
      <c r="I53" t="s">
        <v>2175</v>
      </c>
      <c r="J53" t="s">
        <v>2183</v>
      </c>
    </row>
    <row r="54" spans="1:10" x14ac:dyDescent="0.25">
      <c r="A54" s="24">
        <v>46084.508993055555</v>
      </c>
      <c r="B54">
        <v>5</v>
      </c>
      <c r="C54" t="s">
        <v>2508</v>
      </c>
      <c r="D54" t="s">
        <v>2782</v>
      </c>
      <c r="E54">
        <v>1</v>
      </c>
      <c r="F54" t="s">
        <v>2515</v>
      </c>
      <c r="G54" t="s">
        <v>2446</v>
      </c>
      <c r="H54" t="s">
        <v>2783</v>
      </c>
      <c r="I54" t="s">
        <v>2131</v>
      </c>
      <c r="J54" t="s">
        <v>2136</v>
      </c>
    </row>
    <row r="55" spans="1:10" x14ac:dyDescent="0.25">
      <c r="A55" s="24">
        <v>46084.509004629632</v>
      </c>
      <c r="B55">
        <v>6</v>
      </c>
      <c r="C55" t="s">
        <v>2508</v>
      </c>
      <c r="D55" t="s">
        <v>2784</v>
      </c>
      <c r="E55">
        <v>1</v>
      </c>
      <c r="F55" t="s">
        <v>2516</v>
      </c>
      <c r="G55" t="s">
        <v>2446</v>
      </c>
      <c r="H55" t="s">
        <v>2785</v>
      </c>
      <c r="I55" t="s">
        <v>2156</v>
      </c>
      <c r="J55" t="s">
        <v>2162</v>
      </c>
    </row>
    <row r="56" spans="1:10" x14ac:dyDescent="0.25">
      <c r="A56" s="24">
        <v>46084.509027777778</v>
      </c>
      <c r="B56">
        <v>8</v>
      </c>
      <c r="C56" t="s">
        <v>2508</v>
      </c>
      <c r="D56" t="s">
        <v>2786</v>
      </c>
      <c r="E56">
        <v>1</v>
      </c>
      <c r="F56" t="s">
        <v>2517</v>
      </c>
      <c r="G56" t="s">
        <v>2446</v>
      </c>
      <c r="H56" t="s">
        <v>2787</v>
      </c>
      <c r="I56" t="s">
        <v>2192</v>
      </c>
      <c r="J56" t="s">
        <v>2197</v>
      </c>
    </row>
    <row r="57" spans="1:10" x14ac:dyDescent="0.25">
      <c r="A57" s="24">
        <v>46084.509039351855</v>
      </c>
      <c r="B57">
        <v>2</v>
      </c>
      <c r="C57" t="s">
        <v>2470</v>
      </c>
      <c r="D57" t="s">
        <v>2788</v>
      </c>
      <c r="E57">
        <v>1</v>
      </c>
      <c r="F57" t="s">
        <v>2518</v>
      </c>
      <c r="G57" t="s">
        <v>2446</v>
      </c>
      <c r="H57" t="s">
        <v>2789</v>
      </c>
      <c r="I57" t="s">
        <v>2234</v>
      </c>
      <c r="J57" t="s">
        <v>2239</v>
      </c>
    </row>
    <row r="58" spans="1:10" x14ac:dyDescent="0.25">
      <c r="A58" s="24">
        <v>46084.509050925924</v>
      </c>
      <c r="B58">
        <v>1</v>
      </c>
      <c r="C58" t="s">
        <v>2519</v>
      </c>
      <c r="D58" t="s">
        <v>2790</v>
      </c>
      <c r="E58">
        <v>1</v>
      </c>
      <c r="F58" t="s">
        <v>2520</v>
      </c>
      <c r="G58" t="s">
        <v>2446</v>
      </c>
      <c r="H58" t="s">
        <v>2791</v>
      </c>
      <c r="I58" t="s">
        <v>2266</v>
      </c>
      <c r="J58" t="s">
        <v>2270</v>
      </c>
    </row>
    <row r="59" spans="1:10" x14ac:dyDescent="0.25">
      <c r="A59" s="24">
        <v>46084.509074074071</v>
      </c>
      <c r="B59">
        <v>2</v>
      </c>
      <c r="C59" t="s">
        <v>2519</v>
      </c>
      <c r="D59" t="s">
        <v>2792</v>
      </c>
      <c r="E59">
        <v>1</v>
      </c>
      <c r="F59" t="s">
        <v>2521</v>
      </c>
      <c r="G59" t="s">
        <v>2446</v>
      </c>
      <c r="H59" t="s">
        <v>2793</v>
      </c>
      <c r="I59" t="s">
        <v>2286</v>
      </c>
      <c r="J59" t="s">
        <v>2291</v>
      </c>
    </row>
    <row r="60" spans="1:10" x14ac:dyDescent="0.25">
      <c r="A60" s="24">
        <v>46084.509085648147</v>
      </c>
      <c r="B60">
        <v>1</v>
      </c>
      <c r="C60" t="s">
        <v>2522</v>
      </c>
      <c r="D60" t="s">
        <v>2794</v>
      </c>
      <c r="E60">
        <v>1</v>
      </c>
      <c r="F60" t="s">
        <v>2523</v>
      </c>
      <c r="G60" t="s">
        <v>2446</v>
      </c>
      <c r="H60" t="s">
        <v>2795</v>
      </c>
      <c r="I60" t="s">
        <v>2310</v>
      </c>
      <c r="J60" t="s">
        <v>2314</v>
      </c>
    </row>
    <row r="61" spans="1:10" x14ac:dyDescent="0.25">
      <c r="A61" s="24">
        <v>46084.509097222224</v>
      </c>
      <c r="B61">
        <v>1</v>
      </c>
      <c r="C61" t="s">
        <v>2524</v>
      </c>
      <c r="D61" t="s">
        <v>2796</v>
      </c>
      <c r="E61">
        <v>1</v>
      </c>
      <c r="F61" t="s">
        <v>2525</v>
      </c>
      <c r="G61" t="s">
        <v>2446</v>
      </c>
      <c r="H61" t="s">
        <v>2797</v>
      </c>
      <c r="I61" t="s">
        <v>2334</v>
      </c>
      <c r="J61" t="s">
        <v>2339</v>
      </c>
    </row>
    <row r="62" spans="1:10" x14ac:dyDescent="0.25">
      <c r="A62" s="24">
        <v>46084.515196759261</v>
      </c>
      <c r="B62">
        <v>8</v>
      </c>
      <c r="C62" t="s">
        <v>2455</v>
      </c>
      <c r="D62" t="s">
        <v>2674</v>
      </c>
      <c r="E62">
        <v>1</v>
      </c>
      <c r="F62" t="s">
        <v>2456</v>
      </c>
      <c r="G62" t="s">
        <v>2446</v>
      </c>
      <c r="H62" t="s">
        <v>2675</v>
      </c>
      <c r="I62" t="s">
        <v>1336</v>
      </c>
      <c r="J62" t="s">
        <v>1341</v>
      </c>
    </row>
    <row r="63" spans="1:10" x14ac:dyDescent="0.25">
      <c r="A63" s="24">
        <v>46084.515208333331</v>
      </c>
      <c r="B63">
        <v>1</v>
      </c>
      <c r="C63" t="s">
        <v>2457</v>
      </c>
      <c r="D63" t="s">
        <v>2676</v>
      </c>
      <c r="E63">
        <v>1</v>
      </c>
      <c r="F63" t="s">
        <v>2458</v>
      </c>
      <c r="G63" t="s">
        <v>2446</v>
      </c>
      <c r="H63" t="s">
        <v>2677</v>
      </c>
      <c r="I63" t="s">
        <v>1162</v>
      </c>
      <c r="J63" t="s">
        <v>1168</v>
      </c>
    </row>
    <row r="64" spans="1:10" x14ac:dyDescent="0.25">
      <c r="A64" s="24">
        <v>46084.515219907407</v>
      </c>
      <c r="B64">
        <v>1</v>
      </c>
      <c r="C64" t="s">
        <v>2459</v>
      </c>
      <c r="D64" t="s">
        <v>2678</v>
      </c>
      <c r="E64">
        <v>1</v>
      </c>
      <c r="F64" t="s">
        <v>2460</v>
      </c>
      <c r="G64" t="s">
        <v>2446</v>
      </c>
      <c r="H64" t="s">
        <v>2679</v>
      </c>
      <c r="I64" t="s">
        <v>1183</v>
      </c>
      <c r="J64" t="s">
        <v>1187</v>
      </c>
    </row>
    <row r="65" spans="1:10" x14ac:dyDescent="0.25">
      <c r="A65" s="24">
        <v>46084.515243055554</v>
      </c>
      <c r="B65">
        <v>1</v>
      </c>
      <c r="C65" t="s">
        <v>2455</v>
      </c>
      <c r="D65" t="s">
        <v>2680</v>
      </c>
      <c r="E65">
        <v>1</v>
      </c>
      <c r="F65" t="s">
        <v>2461</v>
      </c>
      <c r="G65" t="s">
        <v>2446</v>
      </c>
      <c r="H65" t="s">
        <v>2681</v>
      </c>
      <c r="I65" t="s">
        <v>1197</v>
      </c>
      <c r="J65" t="s">
        <v>1201</v>
      </c>
    </row>
    <row r="66" spans="1:10" x14ac:dyDescent="0.25">
      <c r="A66" s="24">
        <v>46084.51525462963</v>
      </c>
      <c r="B66">
        <v>2</v>
      </c>
      <c r="C66" t="s">
        <v>2455</v>
      </c>
      <c r="D66" t="s">
        <v>2682</v>
      </c>
      <c r="E66">
        <v>1</v>
      </c>
      <c r="F66" t="s">
        <v>2462</v>
      </c>
      <c r="G66" t="s">
        <v>2446</v>
      </c>
      <c r="H66" t="s">
        <v>2683</v>
      </c>
      <c r="I66" t="s">
        <v>1215</v>
      </c>
      <c r="J66" t="s">
        <v>1220</v>
      </c>
    </row>
    <row r="67" spans="1:10" x14ac:dyDescent="0.25">
      <c r="A67" s="24">
        <v>46084.515266203707</v>
      </c>
      <c r="B67">
        <v>7</v>
      </c>
      <c r="C67" t="s">
        <v>2455</v>
      </c>
      <c r="D67" t="s">
        <v>2684</v>
      </c>
      <c r="E67">
        <v>1</v>
      </c>
      <c r="F67" t="s">
        <v>2463</v>
      </c>
      <c r="G67" t="s">
        <v>2446</v>
      </c>
      <c r="H67" t="s">
        <v>2685</v>
      </c>
      <c r="I67" t="s">
        <v>1318</v>
      </c>
      <c r="J67" t="s">
        <v>1325</v>
      </c>
    </row>
    <row r="68" spans="1:10" x14ac:dyDescent="0.25">
      <c r="A68" s="24">
        <v>46084.515277777777</v>
      </c>
      <c r="B68">
        <v>3</v>
      </c>
      <c r="C68" t="s">
        <v>2455</v>
      </c>
      <c r="D68" t="s">
        <v>2686</v>
      </c>
      <c r="E68">
        <v>1</v>
      </c>
      <c r="F68" t="s">
        <v>2464</v>
      </c>
      <c r="G68" t="s">
        <v>2446</v>
      </c>
      <c r="H68" t="s">
        <v>2687</v>
      </c>
      <c r="I68" t="s">
        <v>1242</v>
      </c>
      <c r="J68" t="s">
        <v>1248</v>
      </c>
    </row>
    <row r="69" spans="1:10" x14ac:dyDescent="0.25">
      <c r="A69" s="24">
        <v>46084.515289351853</v>
      </c>
      <c r="B69">
        <v>4</v>
      </c>
      <c r="C69" t="s">
        <v>2455</v>
      </c>
      <c r="D69" t="s">
        <v>2688</v>
      </c>
      <c r="E69">
        <v>1</v>
      </c>
      <c r="F69" t="s">
        <v>2465</v>
      </c>
      <c r="G69" t="s">
        <v>2446</v>
      </c>
      <c r="H69" t="s">
        <v>2689</v>
      </c>
      <c r="I69" t="s">
        <v>1262</v>
      </c>
      <c r="J69" t="s">
        <v>1267</v>
      </c>
    </row>
    <row r="70" spans="1:10" x14ac:dyDescent="0.25">
      <c r="A70" s="24">
        <v>46084.5153125</v>
      </c>
      <c r="B70">
        <v>5</v>
      </c>
      <c r="C70" t="s">
        <v>2455</v>
      </c>
      <c r="D70" t="s">
        <v>2690</v>
      </c>
      <c r="E70">
        <v>1</v>
      </c>
      <c r="F70" t="s">
        <v>2466</v>
      </c>
      <c r="G70" t="s">
        <v>2446</v>
      </c>
      <c r="H70" t="s">
        <v>2691</v>
      </c>
      <c r="I70" t="s">
        <v>1282</v>
      </c>
      <c r="J70" t="s">
        <v>1288</v>
      </c>
    </row>
    <row r="71" spans="1:10" x14ac:dyDescent="0.25">
      <c r="A71" s="24">
        <v>46084.515324074076</v>
      </c>
      <c r="B71">
        <v>6</v>
      </c>
      <c r="C71" t="s">
        <v>2455</v>
      </c>
      <c r="D71" t="s">
        <v>2692</v>
      </c>
      <c r="E71">
        <v>1</v>
      </c>
      <c r="F71" t="s">
        <v>2467</v>
      </c>
      <c r="G71" t="s">
        <v>2446</v>
      </c>
      <c r="H71" t="s">
        <v>2693</v>
      </c>
      <c r="I71" t="s">
        <v>1302</v>
      </c>
      <c r="J71" t="s">
        <v>2694</v>
      </c>
    </row>
    <row r="72" spans="1:10" x14ac:dyDescent="0.25">
      <c r="A72" s="24">
        <v>46084.515335648146</v>
      </c>
      <c r="B72">
        <v>1</v>
      </c>
      <c r="C72" t="s">
        <v>2468</v>
      </c>
      <c r="D72" t="s">
        <v>2695</v>
      </c>
      <c r="E72">
        <v>1</v>
      </c>
      <c r="F72" t="s">
        <v>2469</v>
      </c>
      <c r="G72" t="s">
        <v>2446</v>
      </c>
      <c r="H72" t="s">
        <v>2696</v>
      </c>
      <c r="I72" t="s">
        <v>1450</v>
      </c>
      <c r="J72" t="s">
        <v>1501</v>
      </c>
    </row>
    <row r="73" spans="1:10" x14ac:dyDescent="0.25">
      <c r="A73" s="24">
        <v>46084.515347222223</v>
      </c>
      <c r="B73">
        <v>1</v>
      </c>
      <c r="C73" t="s">
        <v>2470</v>
      </c>
      <c r="D73" t="s">
        <v>2697</v>
      </c>
      <c r="E73">
        <v>1</v>
      </c>
      <c r="F73" t="s">
        <v>2471</v>
      </c>
      <c r="G73" t="s">
        <v>2446</v>
      </c>
      <c r="H73" t="s">
        <v>2698</v>
      </c>
      <c r="I73" t="s">
        <v>1579</v>
      </c>
      <c r="J73" t="s">
        <v>2166</v>
      </c>
    </row>
    <row r="74" spans="1:10" x14ac:dyDescent="0.25">
      <c r="A74" s="24">
        <v>46084.515370370369</v>
      </c>
      <c r="B74">
        <v>9</v>
      </c>
      <c r="C74" t="s">
        <v>2455</v>
      </c>
      <c r="D74" t="s">
        <v>2699</v>
      </c>
      <c r="E74">
        <v>1</v>
      </c>
      <c r="F74" t="s">
        <v>2472</v>
      </c>
      <c r="G74" t="s">
        <v>2446</v>
      </c>
      <c r="H74" t="s">
        <v>2700</v>
      </c>
      <c r="I74" t="s">
        <v>2701</v>
      </c>
      <c r="J74" t="s">
        <v>1366</v>
      </c>
    </row>
    <row r="75" spans="1:10" x14ac:dyDescent="0.25">
      <c r="A75" s="24">
        <v>46084.515381944446</v>
      </c>
      <c r="B75">
        <v>1</v>
      </c>
      <c r="C75" t="s">
        <v>2473</v>
      </c>
      <c r="D75" t="s">
        <v>2702</v>
      </c>
      <c r="E75">
        <v>1</v>
      </c>
      <c r="F75" t="s">
        <v>2474</v>
      </c>
      <c r="G75" t="s">
        <v>2446</v>
      </c>
      <c r="H75" t="s">
        <v>2703</v>
      </c>
      <c r="I75" t="s">
        <v>1377</v>
      </c>
      <c r="J75" t="s">
        <v>1381</v>
      </c>
    </row>
    <row r="76" spans="1:10" x14ac:dyDescent="0.25">
      <c r="A76" s="24">
        <v>46084.515393518515</v>
      </c>
      <c r="B76">
        <v>2</v>
      </c>
      <c r="C76" t="s">
        <v>2473</v>
      </c>
      <c r="D76" t="s">
        <v>2704</v>
      </c>
      <c r="E76">
        <v>1</v>
      </c>
      <c r="F76" t="s">
        <v>2475</v>
      </c>
      <c r="G76" t="s">
        <v>2446</v>
      </c>
      <c r="H76" t="s">
        <v>2705</v>
      </c>
      <c r="I76" t="s">
        <v>1402</v>
      </c>
      <c r="J76" t="s">
        <v>1408</v>
      </c>
    </row>
    <row r="77" spans="1:10" x14ac:dyDescent="0.25">
      <c r="A77" s="24">
        <v>46084.515405092592</v>
      </c>
      <c r="B77">
        <v>2</v>
      </c>
      <c r="C77" t="s">
        <v>2660</v>
      </c>
      <c r="D77" t="s">
        <v>2706</v>
      </c>
      <c r="E77">
        <v>1</v>
      </c>
      <c r="F77" t="s">
        <v>2661</v>
      </c>
      <c r="G77" t="s">
        <v>2446</v>
      </c>
      <c r="H77" t="s">
        <v>2707</v>
      </c>
      <c r="I77" t="s">
        <v>1600</v>
      </c>
      <c r="J77" t="s">
        <v>2013</v>
      </c>
    </row>
    <row r="78" spans="1:10" x14ac:dyDescent="0.25">
      <c r="A78" s="24">
        <v>46084.515428240738</v>
      </c>
      <c r="B78">
        <v>3</v>
      </c>
      <c r="C78" t="s">
        <v>2473</v>
      </c>
      <c r="D78" t="s">
        <v>2708</v>
      </c>
      <c r="E78">
        <v>1</v>
      </c>
      <c r="F78" t="s">
        <v>2480</v>
      </c>
      <c r="G78" t="s">
        <v>2446</v>
      </c>
      <c r="H78" t="s">
        <v>2709</v>
      </c>
      <c r="I78" t="s">
        <v>1422</v>
      </c>
      <c r="J78" t="s">
        <v>1427</v>
      </c>
    </row>
    <row r="79" spans="1:10" x14ac:dyDescent="0.25">
      <c r="A79" s="24">
        <v>46084.515439814815</v>
      </c>
      <c r="B79">
        <v>5</v>
      </c>
      <c r="C79" t="s">
        <v>2473</v>
      </c>
      <c r="D79" t="s">
        <v>2710</v>
      </c>
      <c r="E79">
        <v>1</v>
      </c>
      <c r="F79" t="s">
        <v>2481</v>
      </c>
      <c r="G79" t="s">
        <v>2446</v>
      </c>
      <c r="H79" t="s">
        <v>2711</v>
      </c>
      <c r="I79" t="s">
        <v>795</v>
      </c>
      <c r="J79" t="s">
        <v>1473</v>
      </c>
    </row>
    <row r="80" spans="1:10" x14ac:dyDescent="0.25">
      <c r="A80" s="24">
        <v>46084.515451388892</v>
      </c>
      <c r="B80">
        <v>4</v>
      </c>
      <c r="C80" t="s">
        <v>2473</v>
      </c>
      <c r="D80" t="s">
        <v>2712</v>
      </c>
      <c r="E80">
        <v>1</v>
      </c>
      <c r="F80" t="s">
        <v>2482</v>
      </c>
      <c r="G80" t="s">
        <v>2446</v>
      </c>
      <c r="H80" t="s">
        <v>2713</v>
      </c>
      <c r="I80" t="s">
        <v>2714</v>
      </c>
      <c r="J80" t="s">
        <v>1453</v>
      </c>
    </row>
    <row r="81" spans="1:10" x14ac:dyDescent="0.25">
      <c r="A81" s="24">
        <v>46084.515462962961</v>
      </c>
      <c r="B81">
        <v>1</v>
      </c>
      <c r="C81" t="s">
        <v>2662</v>
      </c>
      <c r="D81" t="s">
        <v>2715</v>
      </c>
      <c r="E81">
        <v>1</v>
      </c>
      <c r="F81" t="s">
        <v>2663</v>
      </c>
      <c r="G81" t="s">
        <v>2446</v>
      </c>
      <c r="H81" t="s">
        <v>2716</v>
      </c>
      <c r="I81" t="s">
        <v>1532</v>
      </c>
      <c r="J81" t="s">
        <v>1540</v>
      </c>
    </row>
    <row r="82" spans="1:10" x14ac:dyDescent="0.25">
      <c r="A82" s="24">
        <v>46084.515486111108</v>
      </c>
      <c r="B82">
        <v>6</v>
      </c>
      <c r="C82" t="s">
        <v>2473</v>
      </c>
      <c r="D82" t="s">
        <v>2717</v>
      </c>
      <c r="E82">
        <v>1</v>
      </c>
      <c r="F82" t="s">
        <v>2483</v>
      </c>
      <c r="G82" t="s">
        <v>2446</v>
      </c>
      <c r="H82" t="s">
        <v>2718</v>
      </c>
      <c r="I82" t="s">
        <v>1478</v>
      </c>
      <c r="J82" t="s">
        <v>1483</v>
      </c>
    </row>
    <row r="83" spans="1:10" x14ac:dyDescent="0.25">
      <c r="A83" s="24">
        <v>46084.515497685185</v>
      </c>
      <c r="B83">
        <v>7</v>
      </c>
      <c r="C83" t="s">
        <v>2473</v>
      </c>
      <c r="D83" t="s">
        <v>2719</v>
      </c>
      <c r="E83">
        <v>1</v>
      </c>
      <c r="F83" t="s">
        <v>2484</v>
      </c>
      <c r="G83" t="s">
        <v>2446</v>
      </c>
      <c r="H83" t="s">
        <v>2720</v>
      </c>
      <c r="I83" t="s">
        <v>1509</v>
      </c>
      <c r="J83" t="s">
        <v>1514</v>
      </c>
    </row>
    <row r="84" spans="1:10" x14ac:dyDescent="0.25">
      <c r="A84" s="24">
        <v>46084.515520833331</v>
      </c>
      <c r="B84">
        <v>8</v>
      </c>
      <c r="C84" t="s">
        <v>2473</v>
      </c>
      <c r="D84" t="s">
        <v>2721</v>
      </c>
      <c r="E84">
        <v>1</v>
      </c>
      <c r="F84" t="s">
        <v>2485</v>
      </c>
      <c r="G84" t="s">
        <v>2446</v>
      </c>
      <c r="H84" t="s">
        <v>2722</v>
      </c>
      <c r="I84" t="s">
        <v>1527</v>
      </c>
      <c r="J84" t="s">
        <v>2723</v>
      </c>
    </row>
    <row r="85" spans="1:10" x14ac:dyDescent="0.25">
      <c r="A85" s="24">
        <v>46084.515532407408</v>
      </c>
      <c r="B85">
        <v>9</v>
      </c>
      <c r="C85" t="s">
        <v>2473</v>
      </c>
      <c r="D85" t="s">
        <v>2724</v>
      </c>
      <c r="E85">
        <v>1</v>
      </c>
      <c r="F85" t="s">
        <v>2486</v>
      </c>
      <c r="G85" t="s">
        <v>2446</v>
      </c>
      <c r="H85" t="s">
        <v>2725</v>
      </c>
      <c r="I85" t="s">
        <v>1550</v>
      </c>
      <c r="J85" t="s">
        <v>1560</v>
      </c>
    </row>
    <row r="86" spans="1:10" x14ac:dyDescent="0.25">
      <c r="A86" s="24">
        <v>46084.515543981484</v>
      </c>
      <c r="B86">
        <v>7</v>
      </c>
      <c r="C86" t="s">
        <v>2487</v>
      </c>
      <c r="D86" t="s">
        <v>2726</v>
      </c>
      <c r="E86">
        <v>1</v>
      </c>
      <c r="F86" t="s">
        <v>2488</v>
      </c>
      <c r="G86" t="s">
        <v>2446</v>
      </c>
      <c r="H86" t="s">
        <v>2727</v>
      </c>
      <c r="I86" t="s">
        <v>1738</v>
      </c>
      <c r="J86" t="s">
        <v>1742</v>
      </c>
    </row>
    <row r="87" spans="1:10" x14ac:dyDescent="0.25">
      <c r="A87" s="24">
        <v>46084.515567129631</v>
      </c>
      <c r="B87">
        <v>1</v>
      </c>
      <c r="C87" t="s">
        <v>2487</v>
      </c>
      <c r="D87" t="s">
        <v>2728</v>
      </c>
      <c r="E87">
        <v>1</v>
      </c>
      <c r="F87" t="s">
        <v>2489</v>
      </c>
      <c r="G87" t="s">
        <v>2446</v>
      </c>
      <c r="H87" t="s">
        <v>2729</v>
      </c>
      <c r="I87" t="s">
        <v>1605</v>
      </c>
      <c r="J87" t="s">
        <v>1610</v>
      </c>
    </row>
    <row r="88" spans="1:10" x14ac:dyDescent="0.25">
      <c r="A88" s="24">
        <v>46084.5155787037</v>
      </c>
      <c r="B88">
        <v>1</v>
      </c>
      <c r="C88" t="s">
        <v>2664</v>
      </c>
      <c r="D88" t="s">
        <v>2730</v>
      </c>
      <c r="E88">
        <v>1</v>
      </c>
      <c r="F88" t="s">
        <v>2665</v>
      </c>
      <c r="G88" t="s">
        <v>2446</v>
      </c>
      <c r="H88" t="s">
        <v>2731</v>
      </c>
      <c r="I88" t="s">
        <v>2732</v>
      </c>
      <c r="J88" t="s">
        <v>1840</v>
      </c>
    </row>
    <row r="89" spans="1:10" x14ac:dyDescent="0.25">
      <c r="A89" s="24">
        <v>46084.515590277777</v>
      </c>
      <c r="B89">
        <v>2</v>
      </c>
      <c r="C89" t="s">
        <v>2487</v>
      </c>
      <c r="D89" t="s">
        <v>2733</v>
      </c>
      <c r="E89">
        <v>1</v>
      </c>
      <c r="F89" t="s">
        <v>2490</v>
      </c>
      <c r="G89" t="s">
        <v>2446</v>
      </c>
      <c r="H89" t="s">
        <v>2734</v>
      </c>
      <c r="I89" t="s">
        <v>1630</v>
      </c>
      <c r="J89" t="s">
        <v>1635</v>
      </c>
    </row>
    <row r="90" spans="1:10" x14ac:dyDescent="0.25">
      <c r="A90" s="24">
        <v>46084.515613425923</v>
      </c>
      <c r="B90">
        <v>3</v>
      </c>
      <c r="C90" t="s">
        <v>2487</v>
      </c>
      <c r="D90" t="s">
        <v>2735</v>
      </c>
      <c r="E90">
        <v>1</v>
      </c>
      <c r="F90" t="s">
        <v>2491</v>
      </c>
      <c r="G90" t="s">
        <v>2446</v>
      </c>
      <c r="H90" t="s">
        <v>2736</v>
      </c>
      <c r="I90" t="s">
        <v>1648</v>
      </c>
      <c r="J90" t="s">
        <v>1657</v>
      </c>
    </row>
    <row r="91" spans="1:10" x14ac:dyDescent="0.25">
      <c r="A91" s="24">
        <v>46084.515625</v>
      </c>
      <c r="B91">
        <v>4</v>
      </c>
      <c r="C91" t="s">
        <v>2487</v>
      </c>
      <c r="D91" t="s">
        <v>2737</v>
      </c>
      <c r="E91">
        <v>1</v>
      </c>
      <c r="F91" t="s">
        <v>2492</v>
      </c>
      <c r="G91" t="s">
        <v>2446</v>
      </c>
      <c r="H91" t="s">
        <v>2738</v>
      </c>
      <c r="I91" t="s">
        <v>1672</v>
      </c>
      <c r="J91" t="s">
        <v>1676</v>
      </c>
    </row>
    <row r="92" spans="1:10" x14ac:dyDescent="0.25">
      <c r="A92" s="24">
        <v>46084.515648148146</v>
      </c>
      <c r="B92">
        <v>2</v>
      </c>
      <c r="C92" t="s">
        <v>2468</v>
      </c>
      <c r="D92" t="s">
        <v>2739</v>
      </c>
      <c r="E92">
        <v>1</v>
      </c>
      <c r="F92" t="s">
        <v>2493</v>
      </c>
      <c r="G92" t="s">
        <v>2446</v>
      </c>
      <c r="H92" t="s">
        <v>2740</v>
      </c>
      <c r="I92" t="s">
        <v>2122</v>
      </c>
      <c r="J92" t="s">
        <v>2305</v>
      </c>
    </row>
    <row r="93" spans="1:10" x14ac:dyDescent="0.25">
      <c r="A93" s="24">
        <v>46084.515659722223</v>
      </c>
      <c r="B93">
        <v>5</v>
      </c>
      <c r="C93" t="s">
        <v>2487</v>
      </c>
      <c r="D93" t="s">
        <v>2741</v>
      </c>
      <c r="E93">
        <v>1</v>
      </c>
      <c r="F93" t="s">
        <v>2494</v>
      </c>
      <c r="G93" t="s">
        <v>2446</v>
      </c>
      <c r="H93" t="s">
        <v>2742</v>
      </c>
      <c r="I93" t="s">
        <v>1694</v>
      </c>
      <c r="J93" t="s">
        <v>1698</v>
      </c>
    </row>
    <row r="94" spans="1:10" x14ac:dyDescent="0.25">
      <c r="A94" s="24">
        <v>46084.515682870369</v>
      </c>
      <c r="B94">
        <v>6</v>
      </c>
      <c r="C94" t="s">
        <v>2487</v>
      </c>
      <c r="D94" t="s">
        <v>2743</v>
      </c>
      <c r="E94">
        <v>1</v>
      </c>
      <c r="F94" t="s">
        <v>2495</v>
      </c>
      <c r="G94" t="s">
        <v>2446</v>
      </c>
      <c r="H94" t="s">
        <v>2744</v>
      </c>
      <c r="I94" t="s">
        <v>1718</v>
      </c>
      <c r="J94" t="s">
        <v>1722</v>
      </c>
    </row>
    <row r="95" spans="1:10" x14ac:dyDescent="0.25">
      <c r="A95" s="24">
        <v>46084.515694444446</v>
      </c>
      <c r="B95">
        <v>1</v>
      </c>
      <c r="C95" t="s">
        <v>2666</v>
      </c>
      <c r="D95" t="s">
        <v>1711</v>
      </c>
      <c r="E95">
        <v>1</v>
      </c>
      <c r="F95" t="s">
        <v>2667</v>
      </c>
      <c r="G95" t="s">
        <v>2446</v>
      </c>
      <c r="H95" t="s">
        <v>1711</v>
      </c>
    </row>
    <row r="96" spans="1:10" x14ac:dyDescent="0.25">
      <c r="A96" s="24">
        <v>46084.515717592592</v>
      </c>
      <c r="B96">
        <v>8</v>
      </c>
      <c r="C96" t="s">
        <v>2487</v>
      </c>
      <c r="D96" t="s">
        <v>2745</v>
      </c>
      <c r="E96">
        <v>1</v>
      </c>
      <c r="F96" t="s">
        <v>2496</v>
      </c>
      <c r="G96" t="s">
        <v>2446</v>
      </c>
      <c r="H96" t="s">
        <v>2746</v>
      </c>
      <c r="I96" t="s">
        <v>1760</v>
      </c>
      <c r="J96" t="s">
        <v>1766</v>
      </c>
    </row>
    <row r="97" spans="1:10" x14ac:dyDescent="0.25">
      <c r="A97" s="24">
        <v>46084.515729166669</v>
      </c>
      <c r="B97">
        <v>9</v>
      </c>
      <c r="C97" t="s">
        <v>2487</v>
      </c>
      <c r="D97" t="s">
        <v>2747</v>
      </c>
      <c r="E97">
        <v>1</v>
      </c>
      <c r="F97" t="s">
        <v>2497</v>
      </c>
      <c r="G97" t="s">
        <v>2446</v>
      </c>
      <c r="H97" t="s">
        <v>2748</v>
      </c>
      <c r="I97" t="s">
        <v>1785</v>
      </c>
      <c r="J97" t="s">
        <v>1790</v>
      </c>
    </row>
    <row r="98" spans="1:10" x14ac:dyDescent="0.25">
      <c r="A98" s="24">
        <v>46084.515740740739</v>
      </c>
      <c r="B98">
        <v>1</v>
      </c>
      <c r="C98" t="s">
        <v>2498</v>
      </c>
      <c r="D98" t="s">
        <v>2749</v>
      </c>
      <c r="E98">
        <v>1</v>
      </c>
      <c r="F98" t="s">
        <v>2499</v>
      </c>
      <c r="G98" t="s">
        <v>2446</v>
      </c>
      <c r="H98" t="s">
        <v>2750</v>
      </c>
      <c r="I98" t="s">
        <v>1812</v>
      </c>
      <c r="J98" t="s">
        <v>1816</v>
      </c>
    </row>
    <row r="99" spans="1:10" x14ac:dyDescent="0.25">
      <c r="A99" s="24">
        <v>46084.515763888892</v>
      </c>
      <c r="B99">
        <v>2</v>
      </c>
      <c r="C99" t="s">
        <v>2498</v>
      </c>
      <c r="D99" t="s">
        <v>2751</v>
      </c>
      <c r="E99">
        <v>1</v>
      </c>
      <c r="F99" t="s">
        <v>2500</v>
      </c>
      <c r="G99" t="s">
        <v>2446</v>
      </c>
      <c r="H99" t="s">
        <v>2752</v>
      </c>
      <c r="I99" t="s">
        <v>1830</v>
      </c>
      <c r="J99" t="s">
        <v>1835</v>
      </c>
    </row>
    <row r="100" spans="1:10" x14ac:dyDescent="0.25">
      <c r="A100" s="24">
        <v>46084.515775462962</v>
      </c>
      <c r="B100">
        <v>3</v>
      </c>
      <c r="C100" t="s">
        <v>2498</v>
      </c>
      <c r="D100" t="s">
        <v>2753</v>
      </c>
      <c r="E100">
        <v>1</v>
      </c>
      <c r="F100" t="s">
        <v>2501</v>
      </c>
      <c r="G100" t="s">
        <v>2446</v>
      </c>
      <c r="H100" t="s">
        <v>2754</v>
      </c>
      <c r="I100" t="s">
        <v>1862</v>
      </c>
      <c r="J100" t="s">
        <v>1867</v>
      </c>
    </row>
    <row r="101" spans="1:10" x14ac:dyDescent="0.25">
      <c r="A101" s="24">
        <v>46084.515798611108</v>
      </c>
      <c r="B101">
        <v>4</v>
      </c>
      <c r="C101" t="s">
        <v>2498</v>
      </c>
      <c r="D101" t="s">
        <v>2755</v>
      </c>
      <c r="E101">
        <v>1</v>
      </c>
      <c r="F101" t="s">
        <v>2502</v>
      </c>
      <c r="G101" t="s">
        <v>2446</v>
      </c>
      <c r="H101" t="s">
        <v>2756</v>
      </c>
      <c r="I101" t="s">
        <v>1883</v>
      </c>
      <c r="J101" t="s">
        <v>1891</v>
      </c>
    </row>
    <row r="102" spans="1:10" x14ac:dyDescent="0.25">
      <c r="A102" s="24">
        <v>46084.515810185185</v>
      </c>
      <c r="B102">
        <v>1</v>
      </c>
      <c r="C102" t="s">
        <v>2660</v>
      </c>
      <c r="D102" t="s">
        <v>2757</v>
      </c>
      <c r="E102">
        <v>1</v>
      </c>
      <c r="F102" t="s">
        <v>2668</v>
      </c>
      <c r="G102" t="s">
        <v>2446</v>
      </c>
      <c r="H102" t="s">
        <v>2758</v>
      </c>
      <c r="I102" t="s">
        <v>1920</v>
      </c>
      <c r="J102" t="s">
        <v>1973</v>
      </c>
    </row>
    <row r="103" spans="1:10" x14ac:dyDescent="0.25">
      <c r="A103" s="24">
        <v>46084.515833333331</v>
      </c>
      <c r="B103">
        <v>5</v>
      </c>
      <c r="C103" t="s">
        <v>2498</v>
      </c>
      <c r="D103" t="s">
        <v>2759</v>
      </c>
      <c r="E103">
        <v>1</v>
      </c>
      <c r="F103" t="s">
        <v>2503</v>
      </c>
      <c r="G103" t="s">
        <v>2446</v>
      </c>
      <c r="H103" t="s">
        <v>2760</v>
      </c>
      <c r="I103" t="s">
        <v>1906</v>
      </c>
      <c r="J103" t="s">
        <v>1915</v>
      </c>
    </row>
    <row r="104" spans="1:10" x14ac:dyDescent="0.25">
      <c r="A104" s="24">
        <v>46084.515844907408</v>
      </c>
      <c r="B104">
        <v>6</v>
      </c>
      <c r="C104" t="s">
        <v>2498</v>
      </c>
      <c r="D104" t="s">
        <v>2761</v>
      </c>
      <c r="E104">
        <v>1</v>
      </c>
      <c r="F104" t="s">
        <v>2504</v>
      </c>
      <c r="G104" t="s">
        <v>2446</v>
      </c>
      <c r="H104" t="s">
        <v>2762</v>
      </c>
      <c r="I104" t="s">
        <v>1938</v>
      </c>
      <c r="J104" t="s">
        <v>1944</v>
      </c>
    </row>
    <row r="105" spans="1:10" x14ac:dyDescent="0.25">
      <c r="A105" s="24">
        <v>46084.515856481485</v>
      </c>
      <c r="B105">
        <v>7</v>
      </c>
      <c r="C105" t="s">
        <v>2498</v>
      </c>
      <c r="D105" t="s">
        <v>2763</v>
      </c>
      <c r="E105">
        <v>1</v>
      </c>
      <c r="F105" t="s">
        <v>2505</v>
      </c>
      <c r="G105" t="s">
        <v>2446</v>
      </c>
      <c r="H105" t="s">
        <v>2764</v>
      </c>
      <c r="I105" t="s">
        <v>1958</v>
      </c>
      <c r="J105" t="s">
        <v>1968</v>
      </c>
    </row>
    <row r="106" spans="1:10" x14ac:dyDescent="0.25">
      <c r="A106" s="24">
        <v>46084.515879629631</v>
      </c>
      <c r="B106">
        <v>8</v>
      </c>
      <c r="C106" t="s">
        <v>2498</v>
      </c>
      <c r="D106" t="s">
        <v>2765</v>
      </c>
      <c r="E106">
        <v>1</v>
      </c>
      <c r="F106" t="s">
        <v>2506</v>
      </c>
      <c r="G106" t="s">
        <v>2446</v>
      </c>
      <c r="H106" t="s">
        <v>2766</v>
      </c>
      <c r="I106" t="s">
        <v>1984</v>
      </c>
      <c r="J106" t="s">
        <v>1989</v>
      </c>
    </row>
    <row r="107" spans="1:10" x14ac:dyDescent="0.25">
      <c r="A107" s="24">
        <v>46084.5158912037</v>
      </c>
      <c r="B107">
        <v>9</v>
      </c>
      <c r="C107" t="s">
        <v>2498</v>
      </c>
      <c r="D107" t="s">
        <v>2767</v>
      </c>
      <c r="E107">
        <v>1</v>
      </c>
      <c r="F107" t="s">
        <v>2507</v>
      </c>
      <c r="G107" t="s">
        <v>2446</v>
      </c>
      <c r="H107" t="s">
        <v>2768</v>
      </c>
      <c r="I107" t="s">
        <v>2009</v>
      </c>
      <c r="J107" t="s">
        <v>2018</v>
      </c>
    </row>
    <row r="108" spans="1:10" x14ac:dyDescent="0.25">
      <c r="A108" s="24">
        <v>46084.515914351854</v>
      </c>
      <c r="B108">
        <v>1</v>
      </c>
      <c r="C108" t="s">
        <v>2508</v>
      </c>
      <c r="D108" t="s">
        <v>2769</v>
      </c>
      <c r="E108">
        <v>1</v>
      </c>
      <c r="F108" t="s">
        <v>2509</v>
      </c>
      <c r="G108" t="s">
        <v>2446</v>
      </c>
      <c r="H108" t="s">
        <v>2770</v>
      </c>
      <c r="I108" t="s">
        <v>2033</v>
      </c>
      <c r="J108" t="s">
        <v>2038</v>
      </c>
    </row>
    <row r="109" spans="1:10" x14ac:dyDescent="0.25">
      <c r="A109" s="24">
        <v>46084.515925925924</v>
      </c>
      <c r="B109">
        <v>2</v>
      </c>
      <c r="C109" t="s">
        <v>2508</v>
      </c>
      <c r="D109" t="s">
        <v>2771</v>
      </c>
      <c r="E109">
        <v>1</v>
      </c>
      <c r="F109" t="s">
        <v>2510</v>
      </c>
      <c r="G109" t="s">
        <v>2446</v>
      </c>
      <c r="H109" t="s">
        <v>2772</v>
      </c>
      <c r="I109" t="s">
        <v>2059</v>
      </c>
      <c r="J109" t="s">
        <v>2773</v>
      </c>
    </row>
    <row r="110" spans="1:10" x14ac:dyDescent="0.25">
      <c r="A110" s="24">
        <v>46084.515949074077</v>
      </c>
      <c r="B110">
        <v>3</v>
      </c>
      <c r="C110" t="s">
        <v>2508</v>
      </c>
      <c r="D110" t="s">
        <v>2774</v>
      </c>
      <c r="E110">
        <v>1</v>
      </c>
      <c r="F110" t="s">
        <v>2511</v>
      </c>
      <c r="G110" t="s">
        <v>2446</v>
      </c>
      <c r="H110" t="s">
        <v>2775</v>
      </c>
      <c r="I110" t="s">
        <v>2085</v>
      </c>
      <c r="J110" t="s">
        <v>2089</v>
      </c>
    </row>
    <row r="111" spans="1:10" x14ac:dyDescent="0.25">
      <c r="A111" s="24">
        <v>46084.515960648147</v>
      </c>
      <c r="B111">
        <v>9</v>
      </c>
      <c r="C111" t="s">
        <v>2508</v>
      </c>
      <c r="D111" t="s">
        <v>2776</v>
      </c>
      <c r="E111">
        <v>1</v>
      </c>
      <c r="F111" t="s">
        <v>2512</v>
      </c>
      <c r="G111" t="s">
        <v>2446</v>
      </c>
      <c r="H111" t="s">
        <v>2777</v>
      </c>
      <c r="I111" t="s">
        <v>2206</v>
      </c>
      <c r="J111" t="s">
        <v>2211</v>
      </c>
    </row>
    <row r="112" spans="1:10" x14ac:dyDescent="0.25">
      <c r="A112" s="24">
        <v>46084.515972222223</v>
      </c>
      <c r="B112">
        <v>4</v>
      </c>
      <c r="C112" t="s">
        <v>2508</v>
      </c>
      <c r="D112" t="s">
        <v>2778</v>
      </c>
      <c r="E112">
        <v>1</v>
      </c>
      <c r="F112" t="s">
        <v>2513</v>
      </c>
      <c r="G112" t="s">
        <v>2446</v>
      </c>
      <c r="H112" t="s">
        <v>2779</v>
      </c>
      <c r="I112" t="s">
        <v>2103</v>
      </c>
      <c r="J112" t="s">
        <v>2108</v>
      </c>
    </row>
    <row r="113" spans="1:10" x14ac:dyDescent="0.25">
      <c r="A113" s="24">
        <v>46084.51599537037</v>
      </c>
      <c r="B113">
        <v>7</v>
      </c>
      <c r="C113" t="s">
        <v>2508</v>
      </c>
      <c r="D113" t="s">
        <v>2780</v>
      </c>
      <c r="E113">
        <v>1</v>
      </c>
      <c r="F113" t="s">
        <v>2514</v>
      </c>
      <c r="G113" t="s">
        <v>2446</v>
      </c>
      <c r="H113" t="s">
        <v>2781</v>
      </c>
      <c r="I113" t="s">
        <v>2175</v>
      </c>
      <c r="J113" t="s">
        <v>2183</v>
      </c>
    </row>
    <row r="114" spans="1:10" x14ac:dyDescent="0.25">
      <c r="A114" s="24">
        <v>46084.516006944446</v>
      </c>
      <c r="B114">
        <v>5</v>
      </c>
      <c r="C114" t="s">
        <v>2508</v>
      </c>
      <c r="D114" t="s">
        <v>2782</v>
      </c>
      <c r="E114">
        <v>1</v>
      </c>
      <c r="F114" t="s">
        <v>2515</v>
      </c>
      <c r="G114" t="s">
        <v>2446</v>
      </c>
      <c r="H114" t="s">
        <v>2783</v>
      </c>
      <c r="I114" t="s">
        <v>2131</v>
      </c>
      <c r="J114" t="s">
        <v>2136</v>
      </c>
    </row>
    <row r="115" spans="1:10" x14ac:dyDescent="0.25">
      <c r="A115" s="24">
        <v>46084.516030092593</v>
      </c>
      <c r="B115">
        <v>6</v>
      </c>
      <c r="C115" t="s">
        <v>2508</v>
      </c>
      <c r="D115" t="s">
        <v>2784</v>
      </c>
      <c r="E115">
        <v>1</v>
      </c>
      <c r="F115" t="s">
        <v>2516</v>
      </c>
      <c r="G115" t="s">
        <v>2446</v>
      </c>
      <c r="H115" t="s">
        <v>2785</v>
      </c>
      <c r="I115" t="s">
        <v>2156</v>
      </c>
      <c r="J115" t="s">
        <v>2162</v>
      </c>
    </row>
    <row r="116" spans="1:10" x14ac:dyDescent="0.25">
      <c r="A116" s="24">
        <v>46084.516041666669</v>
      </c>
      <c r="B116">
        <v>8</v>
      </c>
      <c r="C116" t="s">
        <v>2508</v>
      </c>
      <c r="D116" t="s">
        <v>2786</v>
      </c>
      <c r="E116">
        <v>1</v>
      </c>
      <c r="F116" t="s">
        <v>2517</v>
      </c>
      <c r="G116" t="s">
        <v>2446</v>
      </c>
      <c r="H116" t="s">
        <v>2787</v>
      </c>
      <c r="I116" t="s">
        <v>2192</v>
      </c>
      <c r="J116" t="s">
        <v>2197</v>
      </c>
    </row>
    <row r="117" spans="1:10" x14ac:dyDescent="0.25">
      <c r="A117" s="24">
        <v>46084.516064814816</v>
      </c>
      <c r="B117">
        <v>2</v>
      </c>
      <c r="C117" t="s">
        <v>2470</v>
      </c>
      <c r="D117" t="s">
        <v>2788</v>
      </c>
      <c r="E117">
        <v>1</v>
      </c>
      <c r="F117" t="s">
        <v>2518</v>
      </c>
      <c r="G117" t="s">
        <v>2446</v>
      </c>
      <c r="H117" t="s">
        <v>2789</v>
      </c>
      <c r="I117" t="s">
        <v>2234</v>
      </c>
      <c r="J117" t="s">
        <v>2239</v>
      </c>
    </row>
    <row r="118" spans="1:10" x14ac:dyDescent="0.25">
      <c r="A118" s="24">
        <v>46084.516076388885</v>
      </c>
      <c r="B118">
        <v>1</v>
      </c>
      <c r="C118" t="s">
        <v>2519</v>
      </c>
      <c r="D118" t="s">
        <v>2790</v>
      </c>
      <c r="E118">
        <v>1</v>
      </c>
      <c r="F118" t="s">
        <v>2520</v>
      </c>
      <c r="G118" t="s">
        <v>2446</v>
      </c>
      <c r="H118" t="s">
        <v>2791</v>
      </c>
      <c r="I118" t="s">
        <v>2266</v>
      </c>
      <c r="J118" t="s">
        <v>2270</v>
      </c>
    </row>
    <row r="119" spans="1:10" x14ac:dyDescent="0.25">
      <c r="A119" s="24">
        <v>46084.516087962962</v>
      </c>
      <c r="B119">
        <v>2</v>
      </c>
      <c r="C119" t="s">
        <v>2519</v>
      </c>
      <c r="D119" t="s">
        <v>2792</v>
      </c>
      <c r="E119">
        <v>1</v>
      </c>
      <c r="F119" t="s">
        <v>2521</v>
      </c>
      <c r="G119" t="s">
        <v>2446</v>
      </c>
      <c r="H119" t="s">
        <v>2793</v>
      </c>
      <c r="I119" t="s">
        <v>2286</v>
      </c>
      <c r="J119" t="s">
        <v>2291</v>
      </c>
    </row>
    <row r="120" spans="1:10" x14ac:dyDescent="0.25">
      <c r="A120" s="24">
        <v>46084.516111111108</v>
      </c>
      <c r="B120">
        <v>1</v>
      </c>
      <c r="C120" t="s">
        <v>2522</v>
      </c>
      <c r="D120" t="s">
        <v>2794</v>
      </c>
      <c r="E120">
        <v>1</v>
      </c>
      <c r="F120" t="s">
        <v>2523</v>
      </c>
      <c r="G120" t="s">
        <v>2446</v>
      </c>
      <c r="H120" t="s">
        <v>2795</v>
      </c>
      <c r="I120" t="s">
        <v>2310</v>
      </c>
      <c r="J120" t="s">
        <v>2314</v>
      </c>
    </row>
    <row r="121" spans="1:10" x14ac:dyDescent="0.25">
      <c r="A121" s="24">
        <v>46084.516122685185</v>
      </c>
      <c r="B121">
        <v>1</v>
      </c>
      <c r="C121" t="s">
        <v>2524</v>
      </c>
      <c r="D121" t="s">
        <v>2796</v>
      </c>
      <c r="E121">
        <v>1</v>
      </c>
      <c r="F121" t="s">
        <v>2525</v>
      </c>
      <c r="G121" t="s">
        <v>2446</v>
      </c>
      <c r="H121" t="s">
        <v>2797</v>
      </c>
      <c r="I121" t="s">
        <v>2334</v>
      </c>
      <c r="J121" t="s">
        <v>2339</v>
      </c>
    </row>
    <row r="122" spans="1:10" x14ac:dyDescent="0.25">
      <c r="A122" s="24">
        <v>46084.518726851849</v>
      </c>
      <c r="B122">
        <v>8</v>
      </c>
      <c r="C122" t="s">
        <v>2455</v>
      </c>
      <c r="D122" t="s">
        <v>2674</v>
      </c>
      <c r="E122">
        <v>1</v>
      </c>
      <c r="F122" t="s">
        <v>2456</v>
      </c>
      <c r="G122" t="s">
        <v>2446</v>
      </c>
      <c r="H122" t="s">
        <v>2675</v>
      </c>
      <c r="I122" t="s">
        <v>1336</v>
      </c>
      <c r="J122" t="s">
        <v>1341</v>
      </c>
    </row>
    <row r="123" spans="1:10" x14ac:dyDescent="0.25">
      <c r="A123" s="24">
        <v>46084.518738425926</v>
      </c>
      <c r="B123">
        <v>1</v>
      </c>
      <c r="C123" t="s">
        <v>2457</v>
      </c>
      <c r="D123" t="s">
        <v>2676</v>
      </c>
      <c r="E123">
        <v>1</v>
      </c>
      <c r="F123" t="s">
        <v>2458</v>
      </c>
      <c r="G123" t="s">
        <v>2446</v>
      </c>
      <c r="H123" t="s">
        <v>2677</v>
      </c>
      <c r="I123" t="s">
        <v>1162</v>
      </c>
      <c r="J123" t="s">
        <v>1168</v>
      </c>
    </row>
    <row r="124" spans="1:10" x14ac:dyDescent="0.25">
      <c r="A124" s="24">
        <v>46084.518750000003</v>
      </c>
      <c r="B124">
        <v>1</v>
      </c>
      <c r="C124" t="s">
        <v>2459</v>
      </c>
      <c r="D124" t="s">
        <v>2678</v>
      </c>
      <c r="E124">
        <v>1</v>
      </c>
      <c r="F124" t="s">
        <v>2460</v>
      </c>
      <c r="G124" t="s">
        <v>2446</v>
      </c>
      <c r="H124" t="s">
        <v>2679</v>
      </c>
      <c r="I124" t="s">
        <v>1183</v>
      </c>
      <c r="J124" t="s">
        <v>1187</v>
      </c>
    </row>
    <row r="125" spans="1:10" x14ac:dyDescent="0.25">
      <c r="A125" s="24">
        <v>46084.518773148149</v>
      </c>
      <c r="B125">
        <v>1</v>
      </c>
      <c r="C125" t="s">
        <v>2455</v>
      </c>
      <c r="D125" t="s">
        <v>2680</v>
      </c>
      <c r="E125">
        <v>1</v>
      </c>
      <c r="F125" t="s">
        <v>2461</v>
      </c>
      <c r="G125" t="s">
        <v>2446</v>
      </c>
      <c r="H125" t="s">
        <v>2681</v>
      </c>
      <c r="I125" t="s">
        <v>1197</v>
      </c>
      <c r="J125" t="s">
        <v>1201</v>
      </c>
    </row>
    <row r="126" spans="1:10" x14ac:dyDescent="0.25">
      <c r="A126" s="24">
        <v>46084.518784722219</v>
      </c>
      <c r="B126">
        <v>2</v>
      </c>
      <c r="C126" t="s">
        <v>2455</v>
      </c>
      <c r="D126" t="s">
        <v>2682</v>
      </c>
      <c r="E126">
        <v>1</v>
      </c>
      <c r="F126" t="s">
        <v>2462</v>
      </c>
      <c r="G126" t="s">
        <v>2446</v>
      </c>
      <c r="H126" t="s">
        <v>2683</v>
      </c>
      <c r="I126" t="s">
        <v>1215</v>
      </c>
      <c r="J126" t="s">
        <v>1220</v>
      </c>
    </row>
    <row r="127" spans="1:10" x14ac:dyDescent="0.25">
      <c r="A127" s="24">
        <v>46084.518796296295</v>
      </c>
      <c r="B127">
        <v>7</v>
      </c>
      <c r="C127" t="s">
        <v>2455</v>
      </c>
      <c r="D127" t="s">
        <v>2684</v>
      </c>
      <c r="E127">
        <v>1</v>
      </c>
      <c r="F127" t="s">
        <v>2463</v>
      </c>
      <c r="G127" t="s">
        <v>2446</v>
      </c>
      <c r="H127" t="s">
        <v>2685</v>
      </c>
      <c r="I127" t="s">
        <v>1318</v>
      </c>
      <c r="J127" t="s">
        <v>1325</v>
      </c>
    </row>
    <row r="128" spans="1:10" x14ac:dyDescent="0.25">
      <c r="A128" s="24">
        <v>46084.518807870372</v>
      </c>
      <c r="B128">
        <v>3</v>
      </c>
      <c r="C128" t="s">
        <v>2455</v>
      </c>
      <c r="D128" t="s">
        <v>2686</v>
      </c>
      <c r="E128">
        <v>1</v>
      </c>
      <c r="F128" t="s">
        <v>2464</v>
      </c>
      <c r="G128" t="s">
        <v>2446</v>
      </c>
      <c r="H128" t="s">
        <v>2687</v>
      </c>
      <c r="I128" t="s">
        <v>1242</v>
      </c>
      <c r="J128" t="s">
        <v>1248</v>
      </c>
    </row>
    <row r="129" spans="1:10" x14ac:dyDescent="0.25">
      <c r="A129" s="24">
        <v>46084.518819444442</v>
      </c>
      <c r="B129">
        <v>4</v>
      </c>
      <c r="C129" t="s">
        <v>2455</v>
      </c>
      <c r="D129" t="s">
        <v>2688</v>
      </c>
      <c r="E129">
        <v>1</v>
      </c>
      <c r="F129" t="s">
        <v>2465</v>
      </c>
      <c r="G129" t="s">
        <v>2446</v>
      </c>
      <c r="H129" t="s">
        <v>2689</v>
      </c>
      <c r="I129" t="s">
        <v>1262</v>
      </c>
      <c r="J129" t="s">
        <v>1267</v>
      </c>
    </row>
    <row r="130" spans="1:10" x14ac:dyDescent="0.25">
      <c r="A130" s="24">
        <v>46084.518842592595</v>
      </c>
      <c r="B130">
        <v>5</v>
      </c>
      <c r="C130" t="s">
        <v>2455</v>
      </c>
      <c r="D130" t="s">
        <v>2690</v>
      </c>
      <c r="E130">
        <v>1</v>
      </c>
      <c r="F130" t="s">
        <v>2466</v>
      </c>
      <c r="G130" t="s">
        <v>2446</v>
      </c>
      <c r="H130" t="s">
        <v>2691</v>
      </c>
      <c r="I130" t="s">
        <v>1282</v>
      </c>
      <c r="J130" t="s">
        <v>1288</v>
      </c>
    </row>
    <row r="131" spans="1:10" x14ac:dyDescent="0.25">
      <c r="A131" s="24">
        <v>46084.518854166665</v>
      </c>
      <c r="B131">
        <v>6</v>
      </c>
      <c r="C131" t="s">
        <v>2455</v>
      </c>
      <c r="D131" t="s">
        <v>2692</v>
      </c>
      <c r="E131">
        <v>1</v>
      </c>
      <c r="F131" t="s">
        <v>2467</v>
      </c>
      <c r="G131" t="s">
        <v>2446</v>
      </c>
      <c r="H131" t="s">
        <v>2693</v>
      </c>
      <c r="I131" t="s">
        <v>1302</v>
      </c>
      <c r="J131" t="s">
        <v>2694</v>
      </c>
    </row>
    <row r="132" spans="1:10" x14ac:dyDescent="0.25">
      <c r="A132" s="24">
        <v>46084.518865740742</v>
      </c>
      <c r="B132">
        <v>1</v>
      </c>
      <c r="C132" t="s">
        <v>2468</v>
      </c>
      <c r="D132" t="s">
        <v>2695</v>
      </c>
      <c r="E132">
        <v>1</v>
      </c>
      <c r="F132" t="s">
        <v>2469</v>
      </c>
      <c r="G132" t="s">
        <v>2446</v>
      </c>
      <c r="H132" t="s">
        <v>2696</v>
      </c>
      <c r="I132" t="s">
        <v>1450</v>
      </c>
      <c r="J132" t="s">
        <v>1501</v>
      </c>
    </row>
    <row r="133" spans="1:10" x14ac:dyDescent="0.25">
      <c r="A133" s="24">
        <v>46084.518877314818</v>
      </c>
      <c r="B133">
        <v>1</v>
      </c>
      <c r="C133" t="s">
        <v>2470</v>
      </c>
      <c r="D133" t="s">
        <v>2697</v>
      </c>
      <c r="E133">
        <v>1</v>
      </c>
      <c r="F133" t="s">
        <v>2471</v>
      </c>
      <c r="G133" t="s">
        <v>2446</v>
      </c>
      <c r="H133" t="s">
        <v>2698</v>
      </c>
      <c r="I133" t="s">
        <v>1579</v>
      </c>
      <c r="J133" t="s">
        <v>2166</v>
      </c>
    </row>
    <row r="134" spans="1:10" x14ac:dyDescent="0.25">
      <c r="A134" s="24">
        <v>46084.518900462965</v>
      </c>
      <c r="B134">
        <v>9</v>
      </c>
      <c r="C134" t="s">
        <v>2455</v>
      </c>
      <c r="D134" t="s">
        <v>2699</v>
      </c>
      <c r="E134">
        <v>1</v>
      </c>
      <c r="F134" t="s">
        <v>2472</v>
      </c>
      <c r="G134" t="s">
        <v>2446</v>
      </c>
      <c r="H134" t="s">
        <v>2700</v>
      </c>
      <c r="I134" t="s">
        <v>2701</v>
      </c>
      <c r="J134" t="s">
        <v>1366</v>
      </c>
    </row>
    <row r="135" spans="1:10" x14ac:dyDescent="0.25">
      <c r="A135" s="24">
        <v>46084.518912037034</v>
      </c>
      <c r="B135">
        <v>1</v>
      </c>
      <c r="C135" t="s">
        <v>2473</v>
      </c>
      <c r="D135" t="s">
        <v>2702</v>
      </c>
      <c r="E135">
        <v>1</v>
      </c>
      <c r="F135" t="s">
        <v>2474</v>
      </c>
      <c r="G135" t="s">
        <v>2446</v>
      </c>
      <c r="H135" t="s">
        <v>2703</v>
      </c>
      <c r="I135" t="s">
        <v>1377</v>
      </c>
      <c r="J135" t="s">
        <v>1381</v>
      </c>
    </row>
    <row r="136" spans="1:10" x14ac:dyDescent="0.25">
      <c r="A136" s="24">
        <v>46084.518923611111</v>
      </c>
      <c r="B136">
        <v>2</v>
      </c>
      <c r="C136" t="s">
        <v>2473</v>
      </c>
      <c r="D136" t="s">
        <v>2704</v>
      </c>
      <c r="E136">
        <v>1</v>
      </c>
      <c r="F136" t="s">
        <v>2475</v>
      </c>
      <c r="G136" t="s">
        <v>2446</v>
      </c>
      <c r="H136" t="s">
        <v>2705</v>
      </c>
      <c r="I136" t="s">
        <v>1402</v>
      </c>
      <c r="J136" t="s">
        <v>1408</v>
      </c>
    </row>
    <row r="137" spans="1:10" x14ac:dyDescent="0.25">
      <c r="A137" s="24">
        <v>46084.518935185188</v>
      </c>
      <c r="B137">
        <v>2</v>
      </c>
      <c r="C137" t="s">
        <v>2660</v>
      </c>
      <c r="D137" t="s">
        <v>2706</v>
      </c>
      <c r="E137">
        <v>1</v>
      </c>
      <c r="F137" t="s">
        <v>2661</v>
      </c>
      <c r="G137" t="s">
        <v>2446</v>
      </c>
      <c r="H137" t="s">
        <v>2707</v>
      </c>
      <c r="I137" t="s">
        <v>1600</v>
      </c>
      <c r="J137" t="s">
        <v>2013</v>
      </c>
    </row>
    <row r="138" spans="1:10" x14ac:dyDescent="0.25">
      <c r="A138" s="24">
        <v>46084.518946759257</v>
      </c>
      <c r="B138">
        <v>3</v>
      </c>
      <c r="C138" t="s">
        <v>2473</v>
      </c>
      <c r="D138" t="s">
        <v>2708</v>
      </c>
      <c r="E138">
        <v>1</v>
      </c>
      <c r="F138" t="s">
        <v>2480</v>
      </c>
      <c r="G138" t="s">
        <v>2446</v>
      </c>
      <c r="H138" t="s">
        <v>2709</v>
      </c>
      <c r="I138" t="s">
        <v>1422</v>
      </c>
      <c r="J138" t="s">
        <v>1427</v>
      </c>
    </row>
    <row r="139" spans="1:10" x14ac:dyDescent="0.25">
      <c r="A139" s="24">
        <v>46084.518969907411</v>
      </c>
      <c r="B139">
        <v>5</v>
      </c>
      <c r="C139" t="s">
        <v>2473</v>
      </c>
      <c r="D139" t="s">
        <v>2710</v>
      </c>
      <c r="E139">
        <v>1</v>
      </c>
      <c r="F139" t="s">
        <v>2481</v>
      </c>
      <c r="G139" t="s">
        <v>2446</v>
      </c>
      <c r="H139" t="s">
        <v>2711</v>
      </c>
      <c r="I139" t="s">
        <v>795</v>
      </c>
      <c r="J139" t="s">
        <v>1473</v>
      </c>
    </row>
    <row r="140" spans="1:10" x14ac:dyDescent="0.25">
      <c r="A140" s="24">
        <v>46084.51898148148</v>
      </c>
      <c r="B140">
        <v>4</v>
      </c>
      <c r="C140" t="s">
        <v>2473</v>
      </c>
      <c r="D140" t="s">
        <v>2712</v>
      </c>
      <c r="E140">
        <v>1</v>
      </c>
      <c r="F140" t="s">
        <v>2482</v>
      </c>
      <c r="G140" t="s">
        <v>2446</v>
      </c>
      <c r="H140" t="s">
        <v>2713</v>
      </c>
      <c r="I140" t="s">
        <v>2714</v>
      </c>
      <c r="J140" t="s">
        <v>1453</v>
      </c>
    </row>
    <row r="141" spans="1:10" x14ac:dyDescent="0.25">
      <c r="A141" s="24">
        <v>46084.518993055557</v>
      </c>
      <c r="B141">
        <v>1</v>
      </c>
      <c r="C141" t="s">
        <v>2662</v>
      </c>
      <c r="D141" t="s">
        <v>2715</v>
      </c>
      <c r="E141">
        <v>1</v>
      </c>
      <c r="F141" t="s">
        <v>2663</v>
      </c>
      <c r="G141" t="s">
        <v>2446</v>
      </c>
      <c r="H141" t="s">
        <v>2716</v>
      </c>
      <c r="I141" t="s">
        <v>1532</v>
      </c>
      <c r="J141" t="s">
        <v>1540</v>
      </c>
    </row>
    <row r="142" spans="1:10" x14ac:dyDescent="0.25">
      <c r="A142" s="24">
        <v>46084.519004629627</v>
      </c>
      <c r="B142">
        <v>6</v>
      </c>
      <c r="C142" t="s">
        <v>2473</v>
      </c>
      <c r="D142" t="s">
        <v>2717</v>
      </c>
      <c r="E142">
        <v>1</v>
      </c>
      <c r="F142" t="s">
        <v>2483</v>
      </c>
      <c r="G142" t="s">
        <v>2446</v>
      </c>
      <c r="H142" t="s">
        <v>2718</v>
      </c>
      <c r="I142" t="s">
        <v>1478</v>
      </c>
      <c r="J142" t="s">
        <v>1483</v>
      </c>
    </row>
    <row r="143" spans="1:10" x14ac:dyDescent="0.25">
      <c r="A143" s="24">
        <v>46084.51902777778</v>
      </c>
      <c r="B143">
        <v>7</v>
      </c>
      <c r="C143" t="s">
        <v>2473</v>
      </c>
      <c r="D143" t="s">
        <v>2719</v>
      </c>
      <c r="E143">
        <v>1</v>
      </c>
      <c r="F143" t="s">
        <v>2484</v>
      </c>
      <c r="G143" t="s">
        <v>2446</v>
      </c>
      <c r="H143" t="s">
        <v>2720</v>
      </c>
      <c r="I143" t="s">
        <v>1509</v>
      </c>
      <c r="J143" t="s">
        <v>1514</v>
      </c>
    </row>
    <row r="144" spans="1:10" x14ac:dyDescent="0.25">
      <c r="A144" s="24">
        <v>46084.51903935185</v>
      </c>
      <c r="B144">
        <v>8</v>
      </c>
      <c r="C144" t="s">
        <v>2473</v>
      </c>
      <c r="D144" t="s">
        <v>2721</v>
      </c>
      <c r="E144">
        <v>1</v>
      </c>
      <c r="F144" t="s">
        <v>2485</v>
      </c>
      <c r="G144" t="s">
        <v>2446</v>
      </c>
      <c r="H144" t="s">
        <v>2722</v>
      </c>
      <c r="I144" t="s">
        <v>1527</v>
      </c>
      <c r="J144" t="s">
        <v>2723</v>
      </c>
    </row>
    <row r="145" spans="1:10" x14ac:dyDescent="0.25">
      <c r="A145" s="24">
        <v>46084.519050925926</v>
      </c>
      <c r="B145">
        <v>9</v>
      </c>
      <c r="C145" t="s">
        <v>2473</v>
      </c>
      <c r="D145" t="s">
        <v>2724</v>
      </c>
      <c r="E145">
        <v>1</v>
      </c>
      <c r="F145" t="s">
        <v>2486</v>
      </c>
      <c r="G145" t="s">
        <v>2446</v>
      </c>
      <c r="H145" t="s">
        <v>2725</v>
      </c>
      <c r="I145" t="s">
        <v>1550</v>
      </c>
      <c r="J145" t="s">
        <v>1560</v>
      </c>
    </row>
    <row r="146" spans="1:10" x14ac:dyDescent="0.25">
      <c r="A146" s="24">
        <v>46084.519062500003</v>
      </c>
      <c r="B146">
        <v>7</v>
      </c>
      <c r="C146" t="s">
        <v>2487</v>
      </c>
      <c r="D146" t="s">
        <v>2726</v>
      </c>
      <c r="E146">
        <v>1</v>
      </c>
      <c r="F146" t="s">
        <v>2488</v>
      </c>
      <c r="G146" t="s">
        <v>2446</v>
      </c>
      <c r="H146" t="s">
        <v>2727</v>
      </c>
      <c r="I146" t="s">
        <v>1738</v>
      </c>
      <c r="J146" t="s">
        <v>1742</v>
      </c>
    </row>
    <row r="147" spans="1:10" x14ac:dyDescent="0.25">
      <c r="A147" s="24">
        <v>46084.519085648149</v>
      </c>
      <c r="B147">
        <v>1</v>
      </c>
      <c r="C147" t="s">
        <v>2487</v>
      </c>
      <c r="D147" t="s">
        <v>2728</v>
      </c>
      <c r="E147">
        <v>1</v>
      </c>
      <c r="F147" t="s">
        <v>2489</v>
      </c>
      <c r="G147" t="s">
        <v>2446</v>
      </c>
      <c r="H147" t="s">
        <v>2729</v>
      </c>
      <c r="I147" t="s">
        <v>1605</v>
      </c>
      <c r="J147" t="s">
        <v>1610</v>
      </c>
    </row>
    <row r="148" spans="1:10" x14ac:dyDescent="0.25">
      <c r="A148" s="24">
        <v>46084.519097222219</v>
      </c>
      <c r="B148">
        <v>1</v>
      </c>
      <c r="C148" t="s">
        <v>2664</v>
      </c>
      <c r="D148" t="s">
        <v>2730</v>
      </c>
      <c r="E148">
        <v>1</v>
      </c>
      <c r="F148" t="s">
        <v>2665</v>
      </c>
      <c r="G148" t="s">
        <v>2446</v>
      </c>
      <c r="H148" t="s">
        <v>2731</v>
      </c>
      <c r="I148" t="s">
        <v>2732</v>
      </c>
      <c r="J148" t="s">
        <v>1840</v>
      </c>
    </row>
    <row r="149" spans="1:10" x14ac:dyDescent="0.25">
      <c r="A149" s="24">
        <v>46084.519108796296</v>
      </c>
      <c r="B149">
        <v>2</v>
      </c>
      <c r="C149" t="s">
        <v>2487</v>
      </c>
      <c r="D149" t="s">
        <v>2733</v>
      </c>
      <c r="E149">
        <v>1</v>
      </c>
      <c r="F149" t="s">
        <v>2490</v>
      </c>
      <c r="G149" t="s">
        <v>2446</v>
      </c>
      <c r="H149" t="s">
        <v>2734</v>
      </c>
      <c r="I149" t="s">
        <v>1630</v>
      </c>
      <c r="J149" t="s">
        <v>1635</v>
      </c>
    </row>
    <row r="150" spans="1:10" x14ac:dyDescent="0.25">
      <c r="A150" s="24">
        <v>46084.519120370373</v>
      </c>
      <c r="B150">
        <v>3</v>
      </c>
      <c r="C150" t="s">
        <v>2487</v>
      </c>
      <c r="D150" t="s">
        <v>2735</v>
      </c>
      <c r="E150">
        <v>1</v>
      </c>
      <c r="F150" t="s">
        <v>2491</v>
      </c>
      <c r="G150" t="s">
        <v>2446</v>
      </c>
      <c r="H150" t="s">
        <v>2736</v>
      </c>
      <c r="I150" t="s">
        <v>1648</v>
      </c>
      <c r="J150" t="s">
        <v>1657</v>
      </c>
    </row>
    <row r="151" spans="1:10" x14ac:dyDescent="0.25">
      <c r="A151" s="24">
        <v>46084.519131944442</v>
      </c>
      <c r="B151">
        <v>4</v>
      </c>
      <c r="C151" t="s">
        <v>2487</v>
      </c>
      <c r="D151" t="s">
        <v>2737</v>
      </c>
      <c r="E151">
        <v>1</v>
      </c>
      <c r="F151" t="s">
        <v>2492</v>
      </c>
      <c r="G151" t="s">
        <v>2446</v>
      </c>
      <c r="H151" t="s">
        <v>2738</v>
      </c>
      <c r="I151" t="s">
        <v>1672</v>
      </c>
      <c r="J151" t="s">
        <v>1676</v>
      </c>
    </row>
    <row r="152" spans="1:10" x14ac:dyDescent="0.25">
      <c r="A152" s="24">
        <v>46084.519155092596</v>
      </c>
      <c r="B152">
        <v>2</v>
      </c>
      <c r="C152" t="s">
        <v>2468</v>
      </c>
      <c r="D152" t="s">
        <v>2739</v>
      </c>
      <c r="E152">
        <v>1</v>
      </c>
      <c r="F152" t="s">
        <v>2493</v>
      </c>
      <c r="G152" t="s">
        <v>2446</v>
      </c>
      <c r="H152" t="s">
        <v>2740</v>
      </c>
      <c r="I152" t="s">
        <v>2122</v>
      </c>
      <c r="J152" t="s">
        <v>2305</v>
      </c>
    </row>
    <row r="153" spans="1:10" x14ac:dyDescent="0.25">
      <c r="A153" s="24">
        <v>46084.519166666665</v>
      </c>
      <c r="B153">
        <v>5</v>
      </c>
      <c r="C153" t="s">
        <v>2487</v>
      </c>
      <c r="D153" t="s">
        <v>2741</v>
      </c>
      <c r="E153">
        <v>1</v>
      </c>
      <c r="F153" t="s">
        <v>2494</v>
      </c>
      <c r="G153" t="s">
        <v>2446</v>
      </c>
      <c r="H153" t="s">
        <v>2742</v>
      </c>
      <c r="I153" t="s">
        <v>1694</v>
      </c>
      <c r="J153" t="s">
        <v>1698</v>
      </c>
    </row>
    <row r="154" spans="1:10" x14ac:dyDescent="0.25">
      <c r="A154" s="24">
        <v>46084.519178240742</v>
      </c>
      <c r="B154">
        <v>6</v>
      </c>
      <c r="C154" t="s">
        <v>2487</v>
      </c>
      <c r="D154" t="s">
        <v>2743</v>
      </c>
      <c r="E154">
        <v>1</v>
      </c>
      <c r="F154" t="s">
        <v>2495</v>
      </c>
      <c r="G154" t="s">
        <v>2446</v>
      </c>
      <c r="H154" t="s">
        <v>2744</v>
      </c>
      <c r="I154" t="s">
        <v>1718</v>
      </c>
      <c r="J154" t="s">
        <v>1722</v>
      </c>
    </row>
    <row r="155" spans="1:10" x14ac:dyDescent="0.25">
      <c r="A155" s="24">
        <v>46084.519189814811</v>
      </c>
      <c r="B155">
        <v>1</v>
      </c>
      <c r="C155" t="s">
        <v>2666</v>
      </c>
      <c r="D155" t="s">
        <v>1711</v>
      </c>
      <c r="E155">
        <v>1</v>
      </c>
      <c r="F155" t="s">
        <v>2667</v>
      </c>
      <c r="G155" t="s">
        <v>2446</v>
      </c>
      <c r="H155" t="s">
        <v>1711</v>
      </c>
    </row>
    <row r="156" spans="1:10" x14ac:dyDescent="0.25">
      <c r="A156" s="24">
        <v>46084.519212962965</v>
      </c>
      <c r="B156">
        <v>8</v>
      </c>
      <c r="C156" t="s">
        <v>2487</v>
      </c>
      <c r="D156" t="s">
        <v>2745</v>
      </c>
      <c r="E156">
        <v>1</v>
      </c>
      <c r="F156" t="s">
        <v>2496</v>
      </c>
      <c r="G156" t="s">
        <v>2446</v>
      </c>
      <c r="H156" t="s">
        <v>2746</v>
      </c>
      <c r="I156" t="s">
        <v>1760</v>
      </c>
      <c r="J156" t="s">
        <v>1766</v>
      </c>
    </row>
    <row r="157" spans="1:10" x14ac:dyDescent="0.25">
      <c r="A157" s="24">
        <v>46084.519224537034</v>
      </c>
      <c r="B157">
        <v>9</v>
      </c>
      <c r="C157" t="s">
        <v>2487</v>
      </c>
      <c r="D157" t="s">
        <v>2747</v>
      </c>
      <c r="E157">
        <v>1</v>
      </c>
      <c r="F157" t="s">
        <v>2497</v>
      </c>
      <c r="G157" t="s">
        <v>2446</v>
      </c>
      <c r="H157" t="s">
        <v>2748</v>
      </c>
      <c r="I157" t="s">
        <v>1785</v>
      </c>
      <c r="J157" t="s">
        <v>1790</v>
      </c>
    </row>
    <row r="158" spans="1:10" x14ac:dyDescent="0.25">
      <c r="A158" s="24">
        <v>46084.519236111111</v>
      </c>
      <c r="B158">
        <v>1</v>
      </c>
      <c r="C158" t="s">
        <v>2498</v>
      </c>
      <c r="D158" t="s">
        <v>2749</v>
      </c>
      <c r="E158">
        <v>1</v>
      </c>
      <c r="F158" t="s">
        <v>2499</v>
      </c>
      <c r="G158" t="s">
        <v>2446</v>
      </c>
      <c r="H158" t="s">
        <v>2750</v>
      </c>
      <c r="I158" t="s">
        <v>1812</v>
      </c>
      <c r="J158" t="s">
        <v>1816</v>
      </c>
    </row>
    <row r="159" spans="1:10" x14ac:dyDescent="0.25">
      <c r="A159" s="24">
        <v>46084.519247685188</v>
      </c>
      <c r="B159">
        <v>2</v>
      </c>
      <c r="C159" t="s">
        <v>2498</v>
      </c>
      <c r="D159" t="s">
        <v>2751</v>
      </c>
      <c r="E159">
        <v>1</v>
      </c>
      <c r="F159" t="s">
        <v>2500</v>
      </c>
      <c r="G159" t="s">
        <v>2446</v>
      </c>
      <c r="H159" t="s">
        <v>2752</v>
      </c>
      <c r="I159" t="s">
        <v>1830</v>
      </c>
      <c r="J159" t="s">
        <v>1835</v>
      </c>
    </row>
    <row r="160" spans="1:10" x14ac:dyDescent="0.25">
      <c r="A160" s="24">
        <v>46084.519259259258</v>
      </c>
      <c r="B160">
        <v>3</v>
      </c>
      <c r="C160" t="s">
        <v>2498</v>
      </c>
      <c r="D160" t="s">
        <v>2753</v>
      </c>
      <c r="E160">
        <v>1</v>
      </c>
      <c r="F160" t="s">
        <v>2501</v>
      </c>
      <c r="G160" t="s">
        <v>2446</v>
      </c>
      <c r="H160" t="s">
        <v>2754</v>
      </c>
      <c r="I160" t="s">
        <v>1862</v>
      </c>
      <c r="J160" t="s">
        <v>1867</v>
      </c>
    </row>
    <row r="161" spans="1:10" x14ac:dyDescent="0.25">
      <c r="A161" s="24">
        <v>46084.519282407404</v>
      </c>
      <c r="B161">
        <v>4</v>
      </c>
      <c r="C161" t="s">
        <v>2498</v>
      </c>
      <c r="D161" t="s">
        <v>2755</v>
      </c>
      <c r="E161">
        <v>1</v>
      </c>
      <c r="F161" t="s">
        <v>2502</v>
      </c>
      <c r="G161" t="s">
        <v>2446</v>
      </c>
      <c r="H161" t="s">
        <v>2756</v>
      </c>
      <c r="I161" t="s">
        <v>1883</v>
      </c>
      <c r="J161" t="s">
        <v>1891</v>
      </c>
    </row>
    <row r="162" spans="1:10" x14ac:dyDescent="0.25">
      <c r="A162" s="24">
        <v>46084.519293981481</v>
      </c>
      <c r="B162">
        <v>1</v>
      </c>
      <c r="C162" t="s">
        <v>2660</v>
      </c>
      <c r="D162" t="s">
        <v>2757</v>
      </c>
      <c r="E162">
        <v>1</v>
      </c>
      <c r="F162" t="s">
        <v>2668</v>
      </c>
      <c r="G162" t="s">
        <v>2446</v>
      </c>
      <c r="H162" t="s">
        <v>2758</v>
      </c>
      <c r="I162" t="s">
        <v>1920</v>
      </c>
      <c r="J162" t="s">
        <v>1973</v>
      </c>
    </row>
    <row r="163" spans="1:10" x14ac:dyDescent="0.25">
      <c r="A163" s="24">
        <v>46084.519305555557</v>
      </c>
      <c r="B163">
        <v>5</v>
      </c>
      <c r="C163" t="s">
        <v>2498</v>
      </c>
      <c r="D163" t="s">
        <v>2759</v>
      </c>
      <c r="E163">
        <v>1</v>
      </c>
      <c r="F163" t="s">
        <v>2503</v>
      </c>
      <c r="G163" t="s">
        <v>2446</v>
      </c>
      <c r="H163" t="s">
        <v>2760</v>
      </c>
      <c r="I163" t="s">
        <v>1906</v>
      </c>
      <c r="J163" t="s">
        <v>1915</v>
      </c>
    </row>
    <row r="164" spans="1:10" x14ac:dyDescent="0.25">
      <c r="A164" s="24">
        <v>46084.519317129627</v>
      </c>
      <c r="B164">
        <v>6</v>
      </c>
      <c r="C164" t="s">
        <v>2498</v>
      </c>
      <c r="D164" t="s">
        <v>2761</v>
      </c>
      <c r="E164">
        <v>1</v>
      </c>
      <c r="F164" t="s">
        <v>2504</v>
      </c>
      <c r="G164" t="s">
        <v>2446</v>
      </c>
      <c r="H164" t="s">
        <v>2762</v>
      </c>
      <c r="I164" t="s">
        <v>1938</v>
      </c>
      <c r="J164" t="s">
        <v>1944</v>
      </c>
    </row>
    <row r="165" spans="1:10" x14ac:dyDescent="0.25">
      <c r="A165" s="24">
        <v>46084.519328703704</v>
      </c>
      <c r="B165">
        <v>7</v>
      </c>
      <c r="C165" t="s">
        <v>2498</v>
      </c>
      <c r="D165" t="s">
        <v>2763</v>
      </c>
      <c r="E165">
        <v>1</v>
      </c>
      <c r="F165" t="s">
        <v>2505</v>
      </c>
      <c r="G165" t="s">
        <v>2446</v>
      </c>
      <c r="H165" t="s">
        <v>2764</v>
      </c>
      <c r="I165" t="s">
        <v>1958</v>
      </c>
      <c r="J165" t="s">
        <v>1968</v>
      </c>
    </row>
    <row r="166" spans="1:10" x14ac:dyDescent="0.25">
      <c r="A166" s="24">
        <v>46084.51935185185</v>
      </c>
      <c r="B166">
        <v>8</v>
      </c>
      <c r="C166" t="s">
        <v>2498</v>
      </c>
      <c r="D166" t="s">
        <v>2765</v>
      </c>
      <c r="E166">
        <v>1</v>
      </c>
      <c r="F166" t="s">
        <v>2506</v>
      </c>
      <c r="G166" t="s">
        <v>2446</v>
      </c>
      <c r="H166" t="s">
        <v>2766</v>
      </c>
      <c r="I166" t="s">
        <v>1984</v>
      </c>
      <c r="J166" t="s">
        <v>1989</v>
      </c>
    </row>
    <row r="167" spans="1:10" x14ac:dyDescent="0.25">
      <c r="A167" s="24">
        <v>46084.519363425927</v>
      </c>
      <c r="B167">
        <v>9</v>
      </c>
      <c r="C167" t="s">
        <v>2498</v>
      </c>
      <c r="D167" t="s">
        <v>2767</v>
      </c>
      <c r="E167">
        <v>1</v>
      </c>
      <c r="F167" t="s">
        <v>2507</v>
      </c>
      <c r="G167" t="s">
        <v>2446</v>
      </c>
      <c r="H167" t="s">
        <v>2768</v>
      </c>
      <c r="I167" t="s">
        <v>2009</v>
      </c>
      <c r="J167" t="s">
        <v>2018</v>
      </c>
    </row>
    <row r="168" spans="1:10" x14ac:dyDescent="0.25">
      <c r="A168" s="24">
        <v>46084.519375000003</v>
      </c>
      <c r="B168">
        <v>1</v>
      </c>
      <c r="C168" t="s">
        <v>2508</v>
      </c>
      <c r="D168" t="s">
        <v>2769</v>
      </c>
      <c r="E168">
        <v>1</v>
      </c>
      <c r="F168" t="s">
        <v>2509</v>
      </c>
      <c r="G168" t="s">
        <v>2446</v>
      </c>
      <c r="H168" t="s">
        <v>2770</v>
      </c>
      <c r="I168" t="s">
        <v>2033</v>
      </c>
      <c r="J168" t="s">
        <v>2038</v>
      </c>
    </row>
    <row r="169" spans="1:10" x14ac:dyDescent="0.25">
      <c r="A169" s="24">
        <v>46084.519386574073</v>
      </c>
      <c r="B169">
        <v>2</v>
      </c>
      <c r="C169" t="s">
        <v>2508</v>
      </c>
      <c r="D169" t="s">
        <v>2771</v>
      </c>
      <c r="E169">
        <v>1</v>
      </c>
      <c r="F169" t="s">
        <v>2510</v>
      </c>
      <c r="G169" t="s">
        <v>2446</v>
      </c>
      <c r="H169" t="s">
        <v>2772</v>
      </c>
      <c r="I169" t="s">
        <v>2059</v>
      </c>
      <c r="J169" t="s">
        <v>2773</v>
      </c>
    </row>
    <row r="170" spans="1:10" x14ac:dyDescent="0.25">
      <c r="A170" s="24">
        <v>46084.51939814815</v>
      </c>
      <c r="B170">
        <v>3</v>
      </c>
      <c r="C170" t="s">
        <v>2508</v>
      </c>
      <c r="D170" t="s">
        <v>2774</v>
      </c>
      <c r="E170">
        <v>1</v>
      </c>
      <c r="F170" t="s">
        <v>2511</v>
      </c>
      <c r="G170" t="s">
        <v>2446</v>
      </c>
      <c r="H170" t="s">
        <v>2775</v>
      </c>
      <c r="I170" t="s">
        <v>2085</v>
      </c>
      <c r="J170" t="s">
        <v>2089</v>
      </c>
    </row>
    <row r="171" spans="1:10" x14ac:dyDescent="0.25">
      <c r="A171" s="24">
        <v>46084.519421296296</v>
      </c>
      <c r="B171">
        <v>9</v>
      </c>
      <c r="C171" t="s">
        <v>2508</v>
      </c>
      <c r="D171" t="s">
        <v>2776</v>
      </c>
      <c r="E171">
        <v>1</v>
      </c>
      <c r="F171" t="s">
        <v>2512</v>
      </c>
      <c r="G171" t="s">
        <v>2446</v>
      </c>
      <c r="H171" t="s">
        <v>2777</v>
      </c>
      <c r="I171" t="s">
        <v>2206</v>
      </c>
      <c r="J171" t="s">
        <v>2211</v>
      </c>
    </row>
    <row r="172" spans="1:10" x14ac:dyDescent="0.25">
      <c r="A172" s="24">
        <v>46084.519432870373</v>
      </c>
      <c r="B172">
        <v>4</v>
      </c>
      <c r="C172" t="s">
        <v>2508</v>
      </c>
      <c r="D172" t="s">
        <v>2778</v>
      </c>
      <c r="E172">
        <v>1</v>
      </c>
      <c r="F172" t="s">
        <v>2513</v>
      </c>
      <c r="G172" t="s">
        <v>2446</v>
      </c>
      <c r="H172" t="s">
        <v>2779</v>
      </c>
      <c r="I172" t="s">
        <v>2103</v>
      </c>
      <c r="J172" t="s">
        <v>2108</v>
      </c>
    </row>
    <row r="173" spans="1:10" x14ac:dyDescent="0.25">
      <c r="A173" s="24">
        <v>46084.519444444442</v>
      </c>
      <c r="B173">
        <v>7</v>
      </c>
      <c r="C173" t="s">
        <v>2508</v>
      </c>
      <c r="D173" t="s">
        <v>2780</v>
      </c>
      <c r="E173">
        <v>1</v>
      </c>
      <c r="F173" t="s">
        <v>2514</v>
      </c>
      <c r="G173" t="s">
        <v>2446</v>
      </c>
      <c r="H173" t="s">
        <v>2781</v>
      </c>
      <c r="I173" t="s">
        <v>2175</v>
      </c>
      <c r="J173" t="s">
        <v>2183</v>
      </c>
    </row>
    <row r="174" spans="1:10" x14ac:dyDescent="0.25">
      <c r="A174" s="24">
        <v>46084.519456018519</v>
      </c>
      <c r="B174">
        <v>5</v>
      </c>
      <c r="C174" t="s">
        <v>2508</v>
      </c>
      <c r="D174" t="s">
        <v>2782</v>
      </c>
      <c r="E174">
        <v>1</v>
      </c>
      <c r="F174" t="s">
        <v>2515</v>
      </c>
      <c r="G174" t="s">
        <v>2446</v>
      </c>
      <c r="H174" t="s">
        <v>2783</v>
      </c>
      <c r="I174" t="s">
        <v>2131</v>
      </c>
      <c r="J174" t="s">
        <v>2136</v>
      </c>
    </row>
    <row r="175" spans="1:10" x14ac:dyDescent="0.25">
      <c r="A175" s="24">
        <v>46084.519467592596</v>
      </c>
      <c r="B175">
        <v>6</v>
      </c>
      <c r="C175" t="s">
        <v>2508</v>
      </c>
      <c r="D175" t="s">
        <v>2784</v>
      </c>
      <c r="E175">
        <v>1</v>
      </c>
      <c r="F175" t="s">
        <v>2516</v>
      </c>
      <c r="G175" t="s">
        <v>2446</v>
      </c>
      <c r="H175" t="s">
        <v>2785</v>
      </c>
      <c r="I175" t="s">
        <v>2156</v>
      </c>
      <c r="J175" t="s">
        <v>2162</v>
      </c>
    </row>
    <row r="176" spans="1:10" x14ac:dyDescent="0.25">
      <c r="A176" s="24">
        <v>46084.519490740742</v>
      </c>
      <c r="B176">
        <v>8</v>
      </c>
      <c r="C176" t="s">
        <v>2508</v>
      </c>
      <c r="D176" t="s">
        <v>2786</v>
      </c>
      <c r="E176">
        <v>1</v>
      </c>
      <c r="F176" t="s">
        <v>2517</v>
      </c>
      <c r="G176" t="s">
        <v>2446</v>
      </c>
      <c r="H176" t="s">
        <v>2787</v>
      </c>
      <c r="I176" t="s">
        <v>2192</v>
      </c>
      <c r="J176" t="s">
        <v>2197</v>
      </c>
    </row>
    <row r="177" spans="1:10" x14ac:dyDescent="0.25">
      <c r="A177" s="24">
        <v>46084.519502314812</v>
      </c>
      <c r="B177">
        <v>2</v>
      </c>
      <c r="C177" t="s">
        <v>2470</v>
      </c>
      <c r="D177" t="s">
        <v>2788</v>
      </c>
      <c r="E177">
        <v>1</v>
      </c>
      <c r="F177" t="s">
        <v>2518</v>
      </c>
      <c r="G177" t="s">
        <v>2446</v>
      </c>
      <c r="H177" t="s">
        <v>2789</v>
      </c>
      <c r="I177" t="s">
        <v>2234</v>
      </c>
      <c r="J177" t="s">
        <v>2239</v>
      </c>
    </row>
    <row r="178" spans="1:10" x14ac:dyDescent="0.25">
      <c r="A178" s="24">
        <v>46084.519513888888</v>
      </c>
      <c r="B178">
        <v>1</v>
      </c>
      <c r="C178" t="s">
        <v>2519</v>
      </c>
      <c r="D178" t="s">
        <v>2790</v>
      </c>
      <c r="E178">
        <v>1</v>
      </c>
      <c r="F178" t="s">
        <v>2520</v>
      </c>
      <c r="G178" t="s">
        <v>2446</v>
      </c>
      <c r="H178" t="s">
        <v>2791</v>
      </c>
      <c r="I178" t="s">
        <v>2266</v>
      </c>
      <c r="J178" t="s">
        <v>2270</v>
      </c>
    </row>
    <row r="179" spans="1:10" x14ac:dyDescent="0.25">
      <c r="A179" s="24">
        <v>46084.519525462965</v>
      </c>
      <c r="B179">
        <v>2</v>
      </c>
      <c r="C179" t="s">
        <v>2519</v>
      </c>
      <c r="D179" t="s">
        <v>2792</v>
      </c>
      <c r="E179">
        <v>1</v>
      </c>
      <c r="F179" t="s">
        <v>2521</v>
      </c>
      <c r="G179" t="s">
        <v>2446</v>
      </c>
      <c r="H179" t="s">
        <v>2793</v>
      </c>
      <c r="I179" t="s">
        <v>2286</v>
      </c>
      <c r="J179" t="s">
        <v>2291</v>
      </c>
    </row>
    <row r="180" spans="1:10" x14ac:dyDescent="0.25">
      <c r="A180" s="24">
        <v>46084.519548611112</v>
      </c>
      <c r="B180">
        <v>1</v>
      </c>
      <c r="C180" t="s">
        <v>2522</v>
      </c>
      <c r="D180" t="s">
        <v>2794</v>
      </c>
      <c r="E180">
        <v>1</v>
      </c>
      <c r="F180" t="s">
        <v>2523</v>
      </c>
      <c r="G180" t="s">
        <v>2446</v>
      </c>
      <c r="H180" t="s">
        <v>2795</v>
      </c>
      <c r="I180" t="s">
        <v>2310</v>
      </c>
      <c r="J180" t="s">
        <v>2314</v>
      </c>
    </row>
    <row r="181" spans="1:10" x14ac:dyDescent="0.25">
      <c r="A181" s="24">
        <v>46084.519560185188</v>
      </c>
      <c r="B181">
        <v>1</v>
      </c>
      <c r="C181" t="s">
        <v>2524</v>
      </c>
      <c r="D181" t="s">
        <v>2796</v>
      </c>
      <c r="E181">
        <v>1</v>
      </c>
      <c r="F181" t="s">
        <v>2525</v>
      </c>
      <c r="G181" t="s">
        <v>2446</v>
      </c>
      <c r="H181" t="s">
        <v>2797</v>
      </c>
      <c r="I181" t="s">
        <v>2334</v>
      </c>
      <c r="J181" t="s">
        <v>2339</v>
      </c>
    </row>
    <row r="182" spans="1:10" x14ac:dyDescent="0.25">
      <c r="A182" s="24">
        <v>46084.521527777775</v>
      </c>
      <c r="B182">
        <v>8</v>
      </c>
      <c r="C182" t="s">
        <v>2455</v>
      </c>
      <c r="D182" t="s">
        <v>2674</v>
      </c>
      <c r="E182">
        <v>1</v>
      </c>
      <c r="F182" t="s">
        <v>2456</v>
      </c>
      <c r="G182" t="s">
        <v>2446</v>
      </c>
      <c r="H182" t="s">
        <v>2675</v>
      </c>
      <c r="I182" t="s">
        <v>1336</v>
      </c>
      <c r="J182" t="s">
        <v>1341</v>
      </c>
    </row>
    <row r="183" spans="1:10" x14ac:dyDescent="0.25">
      <c r="A183" s="24">
        <v>46084.521539351852</v>
      </c>
      <c r="B183">
        <v>1</v>
      </c>
      <c r="C183" t="s">
        <v>2457</v>
      </c>
      <c r="D183" t="s">
        <v>2676</v>
      </c>
      <c r="E183">
        <v>1</v>
      </c>
      <c r="F183" t="s">
        <v>2458</v>
      </c>
      <c r="G183" t="s">
        <v>2446</v>
      </c>
      <c r="H183" t="s">
        <v>2677</v>
      </c>
      <c r="I183" t="s">
        <v>1162</v>
      </c>
      <c r="J183" t="s">
        <v>1168</v>
      </c>
    </row>
    <row r="184" spans="1:10" x14ac:dyDescent="0.25">
      <c r="A184" s="24">
        <v>46084.521550925929</v>
      </c>
      <c r="B184">
        <v>1</v>
      </c>
      <c r="C184" t="s">
        <v>2459</v>
      </c>
      <c r="D184" t="s">
        <v>2678</v>
      </c>
      <c r="E184">
        <v>1</v>
      </c>
      <c r="F184" t="s">
        <v>2460</v>
      </c>
      <c r="G184" t="s">
        <v>2446</v>
      </c>
      <c r="H184" t="s">
        <v>2679</v>
      </c>
      <c r="I184" t="s">
        <v>1183</v>
      </c>
      <c r="J184" t="s">
        <v>1187</v>
      </c>
    </row>
    <row r="185" spans="1:10" x14ac:dyDescent="0.25">
      <c r="A185" s="24">
        <v>46084.521550925929</v>
      </c>
      <c r="B185">
        <v>1</v>
      </c>
      <c r="C185" t="s">
        <v>2455</v>
      </c>
      <c r="D185" t="s">
        <v>2680</v>
      </c>
      <c r="E185">
        <v>1</v>
      </c>
      <c r="F185" t="s">
        <v>2461</v>
      </c>
      <c r="G185" t="s">
        <v>2446</v>
      </c>
      <c r="H185" t="s">
        <v>2681</v>
      </c>
      <c r="I185" t="s">
        <v>1197</v>
      </c>
      <c r="J185" t="s">
        <v>1201</v>
      </c>
    </row>
    <row r="186" spans="1:10" x14ac:dyDescent="0.25">
      <c r="A186" s="24">
        <v>46084.521562499998</v>
      </c>
      <c r="B186">
        <v>2</v>
      </c>
      <c r="C186" t="s">
        <v>2455</v>
      </c>
      <c r="D186" t="s">
        <v>2682</v>
      </c>
      <c r="E186">
        <v>1</v>
      </c>
      <c r="F186" t="s">
        <v>2462</v>
      </c>
      <c r="G186" t="s">
        <v>2446</v>
      </c>
      <c r="H186" t="s">
        <v>2683</v>
      </c>
      <c r="I186" t="s">
        <v>1215</v>
      </c>
      <c r="J186" t="s">
        <v>1220</v>
      </c>
    </row>
    <row r="187" spans="1:10" x14ac:dyDescent="0.25">
      <c r="A187" s="24">
        <v>46084.521574074075</v>
      </c>
      <c r="B187">
        <v>7</v>
      </c>
      <c r="C187" t="s">
        <v>2455</v>
      </c>
      <c r="D187" t="s">
        <v>2684</v>
      </c>
      <c r="E187">
        <v>1</v>
      </c>
      <c r="F187" t="s">
        <v>2463</v>
      </c>
      <c r="G187" t="s">
        <v>2446</v>
      </c>
      <c r="H187" t="s">
        <v>2685</v>
      </c>
      <c r="I187" t="s">
        <v>1318</v>
      </c>
      <c r="J187" t="s">
        <v>1325</v>
      </c>
    </row>
    <row r="188" spans="1:10" x14ac:dyDescent="0.25">
      <c r="A188" s="24">
        <v>46084.521585648145</v>
      </c>
      <c r="B188">
        <v>3</v>
      </c>
      <c r="C188" t="s">
        <v>2455</v>
      </c>
      <c r="D188" t="s">
        <v>2686</v>
      </c>
      <c r="E188">
        <v>1</v>
      </c>
      <c r="F188" t="s">
        <v>2464</v>
      </c>
      <c r="G188" t="s">
        <v>2446</v>
      </c>
      <c r="H188" t="s">
        <v>2687</v>
      </c>
      <c r="I188" t="s">
        <v>1242</v>
      </c>
      <c r="J188" t="s">
        <v>1248</v>
      </c>
    </row>
    <row r="189" spans="1:10" x14ac:dyDescent="0.25">
      <c r="A189" s="24">
        <v>46084.521585648145</v>
      </c>
      <c r="B189">
        <v>4</v>
      </c>
      <c r="C189" t="s">
        <v>2455</v>
      </c>
      <c r="D189" t="s">
        <v>2688</v>
      </c>
      <c r="E189">
        <v>1</v>
      </c>
      <c r="F189" t="s">
        <v>2465</v>
      </c>
      <c r="G189" t="s">
        <v>2446</v>
      </c>
      <c r="H189" t="s">
        <v>2689</v>
      </c>
      <c r="I189" t="s">
        <v>1262</v>
      </c>
      <c r="J189" t="s">
        <v>1267</v>
      </c>
    </row>
    <row r="190" spans="1:10" x14ac:dyDescent="0.25">
      <c r="A190" s="24">
        <v>46084.521597222221</v>
      </c>
      <c r="B190">
        <v>5</v>
      </c>
      <c r="C190" t="s">
        <v>2455</v>
      </c>
      <c r="D190" t="s">
        <v>2690</v>
      </c>
      <c r="E190">
        <v>1</v>
      </c>
      <c r="F190" t="s">
        <v>2466</v>
      </c>
      <c r="G190" t="s">
        <v>2446</v>
      </c>
      <c r="H190" t="s">
        <v>2691</v>
      </c>
      <c r="I190" t="s">
        <v>1282</v>
      </c>
      <c r="J190" t="s">
        <v>1288</v>
      </c>
    </row>
    <row r="191" spans="1:10" x14ac:dyDescent="0.25">
      <c r="A191" s="24">
        <v>46084.521608796298</v>
      </c>
      <c r="B191">
        <v>6</v>
      </c>
      <c r="C191" t="s">
        <v>2455</v>
      </c>
      <c r="D191" t="s">
        <v>2692</v>
      </c>
      <c r="E191">
        <v>1</v>
      </c>
      <c r="F191" t="s">
        <v>2467</v>
      </c>
      <c r="G191" t="s">
        <v>2446</v>
      </c>
      <c r="H191" t="s">
        <v>2693</v>
      </c>
      <c r="I191" t="s">
        <v>1302</v>
      </c>
      <c r="J191" t="s">
        <v>2694</v>
      </c>
    </row>
    <row r="192" spans="1:10" x14ac:dyDescent="0.25">
      <c r="A192" s="24">
        <v>46084.521608796298</v>
      </c>
      <c r="B192">
        <v>1</v>
      </c>
      <c r="C192" t="s">
        <v>2468</v>
      </c>
      <c r="D192" t="s">
        <v>2695</v>
      </c>
      <c r="E192">
        <v>1</v>
      </c>
      <c r="F192" t="s">
        <v>2469</v>
      </c>
      <c r="G192" t="s">
        <v>2446</v>
      </c>
      <c r="H192" t="s">
        <v>2696</v>
      </c>
      <c r="I192" t="s">
        <v>1450</v>
      </c>
      <c r="J192" t="s">
        <v>1501</v>
      </c>
    </row>
    <row r="193" spans="1:10" x14ac:dyDescent="0.25">
      <c r="A193" s="24">
        <v>46084.521620370368</v>
      </c>
      <c r="B193">
        <v>1</v>
      </c>
      <c r="C193" t="s">
        <v>2470</v>
      </c>
      <c r="D193" t="s">
        <v>2697</v>
      </c>
      <c r="E193">
        <v>1</v>
      </c>
      <c r="F193" t="s">
        <v>2471</v>
      </c>
      <c r="G193" t="s">
        <v>2446</v>
      </c>
      <c r="H193" t="s">
        <v>2698</v>
      </c>
      <c r="I193" t="s">
        <v>1579</v>
      </c>
      <c r="J193" t="s">
        <v>2166</v>
      </c>
    </row>
    <row r="194" spans="1:10" x14ac:dyDescent="0.25">
      <c r="A194" s="24">
        <v>46084.521631944444</v>
      </c>
      <c r="B194">
        <v>9</v>
      </c>
      <c r="C194" t="s">
        <v>2455</v>
      </c>
      <c r="D194" t="s">
        <v>2699</v>
      </c>
      <c r="E194">
        <v>1</v>
      </c>
      <c r="F194" t="s">
        <v>2472</v>
      </c>
      <c r="G194" t="s">
        <v>2446</v>
      </c>
      <c r="H194" t="s">
        <v>2700</v>
      </c>
      <c r="I194" t="s">
        <v>2701</v>
      </c>
      <c r="J194" t="s">
        <v>1366</v>
      </c>
    </row>
    <row r="195" spans="1:10" x14ac:dyDescent="0.25">
      <c r="A195" s="24">
        <v>46084.521631944444</v>
      </c>
      <c r="B195">
        <v>1</v>
      </c>
      <c r="C195" t="s">
        <v>2473</v>
      </c>
      <c r="D195" t="s">
        <v>2702</v>
      </c>
      <c r="E195">
        <v>1</v>
      </c>
      <c r="F195" t="s">
        <v>2474</v>
      </c>
      <c r="G195" t="s">
        <v>2446</v>
      </c>
      <c r="H195" t="s">
        <v>2703</v>
      </c>
      <c r="I195" t="s">
        <v>1377</v>
      </c>
      <c r="J195" t="s">
        <v>1381</v>
      </c>
    </row>
    <row r="196" spans="1:10" x14ac:dyDescent="0.25">
      <c r="A196" s="24">
        <v>46084.521643518521</v>
      </c>
      <c r="B196">
        <v>2</v>
      </c>
      <c r="C196" t="s">
        <v>2473</v>
      </c>
      <c r="D196" t="s">
        <v>2704</v>
      </c>
      <c r="E196">
        <v>1</v>
      </c>
      <c r="F196" t="s">
        <v>2475</v>
      </c>
      <c r="G196" t="s">
        <v>2446</v>
      </c>
      <c r="H196" t="s">
        <v>2705</v>
      </c>
      <c r="I196" t="s">
        <v>1402</v>
      </c>
      <c r="J196" t="s">
        <v>1408</v>
      </c>
    </row>
    <row r="197" spans="1:10" x14ac:dyDescent="0.25">
      <c r="A197" s="24">
        <v>46084.521655092591</v>
      </c>
      <c r="B197">
        <v>2</v>
      </c>
      <c r="C197" t="s">
        <v>2660</v>
      </c>
      <c r="D197" t="s">
        <v>2706</v>
      </c>
      <c r="E197">
        <v>1</v>
      </c>
      <c r="F197" t="s">
        <v>2661</v>
      </c>
      <c r="G197" t="s">
        <v>2446</v>
      </c>
      <c r="H197" t="s">
        <v>2707</v>
      </c>
      <c r="I197" t="s">
        <v>1600</v>
      </c>
      <c r="J197" t="s">
        <v>2013</v>
      </c>
    </row>
    <row r="198" spans="1:10" x14ac:dyDescent="0.25">
      <c r="A198" s="24">
        <v>46084.521655092591</v>
      </c>
      <c r="B198">
        <v>3</v>
      </c>
      <c r="C198" t="s">
        <v>2473</v>
      </c>
      <c r="D198" t="s">
        <v>2708</v>
      </c>
      <c r="E198">
        <v>1</v>
      </c>
      <c r="F198" t="s">
        <v>2480</v>
      </c>
      <c r="G198" t="s">
        <v>2446</v>
      </c>
      <c r="H198" t="s">
        <v>2709</v>
      </c>
      <c r="I198" t="s">
        <v>1422</v>
      </c>
      <c r="J198" t="s">
        <v>1427</v>
      </c>
    </row>
    <row r="199" spans="1:10" x14ac:dyDescent="0.25">
      <c r="A199" s="24">
        <v>46084.521666666667</v>
      </c>
      <c r="B199">
        <v>5</v>
      </c>
      <c r="C199" t="s">
        <v>2473</v>
      </c>
      <c r="D199" t="s">
        <v>2710</v>
      </c>
      <c r="E199">
        <v>1</v>
      </c>
      <c r="F199" t="s">
        <v>2481</v>
      </c>
      <c r="G199" t="s">
        <v>2446</v>
      </c>
      <c r="H199" t="s">
        <v>2711</v>
      </c>
      <c r="I199" t="s">
        <v>795</v>
      </c>
      <c r="J199" t="s">
        <v>1473</v>
      </c>
    </row>
    <row r="200" spans="1:10" x14ac:dyDescent="0.25">
      <c r="A200" s="24">
        <v>46084.521678240744</v>
      </c>
      <c r="B200">
        <v>4</v>
      </c>
      <c r="C200" t="s">
        <v>2473</v>
      </c>
      <c r="D200" t="s">
        <v>2712</v>
      </c>
      <c r="E200">
        <v>1</v>
      </c>
      <c r="F200" t="s">
        <v>2482</v>
      </c>
      <c r="G200" t="s">
        <v>2446</v>
      </c>
      <c r="H200" t="s">
        <v>2713</v>
      </c>
      <c r="I200" t="s">
        <v>2714</v>
      </c>
      <c r="J200" t="s">
        <v>1453</v>
      </c>
    </row>
    <row r="201" spans="1:10" x14ac:dyDescent="0.25">
      <c r="A201" s="24">
        <v>46084.521689814814</v>
      </c>
      <c r="B201">
        <v>1</v>
      </c>
      <c r="C201" t="s">
        <v>2662</v>
      </c>
      <c r="D201" t="s">
        <v>2715</v>
      </c>
      <c r="E201">
        <v>1</v>
      </c>
      <c r="F201" t="s">
        <v>2663</v>
      </c>
      <c r="G201" t="s">
        <v>2446</v>
      </c>
      <c r="H201" t="s">
        <v>2716</v>
      </c>
      <c r="I201" t="s">
        <v>1532</v>
      </c>
      <c r="J201" t="s">
        <v>1540</v>
      </c>
    </row>
    <row r="202" spans="1:10" x14ac:dyDescent="0.25">
      <c r="A202" s="24">
        <v>46084.521689814814</v>
      </c>
      <c r="B202">
        <v>6</v>
      </c>
      <c r="C202" t="s">
        <v>2473</v>
      </c>
      <c r="D202" t="s">
        <v>2717</v>
      </c>
      <c r="E202">
        <v>1</v>
      </c>
      <c r="F202" t="s">
        <v>2483</v>
      </c>
      <c r="G202" t="s">
        <v>2446</v>
      </c>
      <c r="H202" t="s">
        <v>2718</v>
      </c>
      <c r="I202" t="s">
        <v>1478</v>
      </c>
      <c r="J202" t="s">
        <v>1483</v>
      </c>
    </row>
    <row r="203" spans="1:10" x14ac:dyDescent="0.25">
      <c r="A203" s="24">
        <v>46084.521701388891</v>
      </c>
      <c r="B203">
        <v>7</v>
      </c>
      <c r="C203" t="s">
        <v>2473</v>
      </c>
      <c r="D203" t="s">
        <v>2719</v>
      </c>
      <c r="E203">
        <v>1</v>
      </c>
      <c r="F203" t="s">
        <v>2484</v>
      </c>
      <c r="G203" t="s">
        <v>2446</v>
      </c>
      <c r="H203" t="s">
        <v>2720</v>
      </c>
      <c r="I203" t="s">
        <v>1509</v>
      </c>
      <c r="J203" t="s">
        <v>1514</v>
      </c>
    </row>
    <row r="204" spans="1:10" x14ac:dyDescent="0.25">
      <c r="A204" s="24">
        <v>46084.52171296296</v>
      </c>
      <c r="B204">
        <v>8</v>
      </c>
      <c r="C204" t="s">
        <v>2473</v>
      </c>
      <c r="D204" t="s">
        <v>2721</v>
      </c>
      <c r="E204">
        <v>1</v>
      </c>
      <c r="F204" t="s">
        <v>2485</v>
      </c>
      <c r="G204" t="s">
        <v>2446</v>
      </c>
      <c r="H204" t="s">
        <v>2722</v>
      </c>
      <c r="I204" t="s">
        <v>1527</v>
      </c>
      <c r="J204" t="s">
        <v>2723</v>
      </c>
    </row>
    <row r="205" spans="1:10" x14ac:dyDescent="0.25">
      <c r="A205" s="24">
        <v>46084.521724537037</v>
      </c>
      <c r="B205">
        <v>9</v>
      </c>
      <c r="C205" t="s">
        <v>2473</v>
      </c>
      <c r="D205" t="s">
        <v>2724</v>
      </c>
      <c r="E205">
        <v>1</v>
      </c>
      <c r="F205" t="s">
        <v>2486</v>
      </c>
      <c r="G205" t="s">
        <v>2446</v>
      </c>
      <c r="H205" t="s">
        <v>2725</v>
      </c>
      <c r="I205" t="s">
        <v>1550</v>
      </c>
      <c r="J205" t="s">
        <v>1560</v>
      </c>
    </row>
    <row r="206" spans="1:10" x14ac:dyDescent="0.25">
      <c r="A206" s="24">
        <v>46084.521736111114</v>
      </c>
      <c r="B206">
        <v>7</v>
      </c>
      <c r="C206" t="s">
        <v>2487</v>
      </c>
      <c r="D206" t="s">
        <v>2726</v>
      </c>
      <c r="E206">
        <v>1</v>
      </c>
      <c r="F206" t="s">
        <v>2488</v>
      </c>
      <c r="G206" t="s">
        <v>2446</v>
      </c>
      <c r="H206" t="s">
        <v>2727</v>
      </c>
      <c r="I206" t="s">
        <v>1738</v>
      </c>
      <c r="J206" t="s">
        <v>1742</v>
      </c>
    </row>
    <row r="207" spans="1:10" x14ac:dyDescent="0.25">
      <c r="A207" s="24">
        <v>46084.521747685183</v>
      </c>
      <c r="B207">
        <v>1</v>
      </c>
      <c r="C207" t="s">
        <v>2487</v>
      </c>
      <c r="D207" t="s">
        <v>2728</v>
      </c>
      <c r="E207">
        <v>1</v>
      </c>
      <c r="F207" t="s">
        <v>2489</v>
      </c>
      <c r="G207" t="s">
        <v>2446</v>
      </c>
      <c r="H207" t="s">
        <v>2729</v>
      </c>
      <c r="I207" t="s">
        <v>1605</v>
      </c>
      <c r="J207" t="s">
        <v>1610</v>
      </c>
    </row>
    <row r="208" spans="1:10" x14ac:dyDescent="0.25">
      <c r="A208" s="24">
        <v>46084.52175925926</v>
      </c>
      <c r="B208">
        <v>1</v>
      </c>
      <c r="C208" t="s">
        <v>2664</v>
      </c>
      <c r="D208" t="s">
        <v>2730</v>
      </c>
      <c r="E208">
        <v>1</v>
      </c>
      <c r="F208" t="s">
        <v>2665</v>
      </c>
      <c r="G208" t="s">
        <v>2446</v>
      </c>
      <c r="H208" t="s">
        <v>2731</v>
      </c>
      <c r="I208" t="s">
        <v>2732</v>
      </c>
      <c r="J208" t="s">
        <v>1840</v>
      </c>
    </row>
    <row r="209" spans="1:10" x14ac:dyDescent="0.25">
      <c r="A209" s="24">
        <v>46084.521770833337</v>
      </c>
      <c r="B209">
        <v>2</v>
      </c>
      <c r="C209" t="s">
        <v>2487</v>
      </c>
      <c r="D209" t="s">
        <v>2733</v>
      </c>
      <c r="E209">
        <v>1</v>
      </c>
      <c r="F209" t="s">
        <v>2490</v>
      </c>
      <c r="G209" t="s">
        <v>2446</v>
      </c>
      <c r="H209" t="s">
        <v>2734</v>
      </c>
      <c r="I209" t="s">
        <v>1630</v>
      </c>
      <c r="J209" t="s">
        <v>1635</v>
      </c>
    </row>
    <row r="210" spans="1:10" x14ac:dyDescent="0.25">
      <c r="A210" s="24">
        <v>46084.521782407406</v>
      </c>
      <c r="B210">
        <v>3</v>
      </c>
      <c r="C210" t="s">
        <v>2487</v>
      </c>
      <c r="D210" t="s">
        <v>2735</v>
      </c>
      <c r="E210">
        <v>1</v>
      </c>
      <c r="F210" t="s">
        <v>2491</v>
      </c>
      <c r="G210" t="s">
        <v>2446</v>
      </c>
      <c r="H210" t="s">
        <v>2736</v>
      </c>
      <c r="I210" t="s">
        <v>1648</v>
      </c>
      <c r="J210" t="s">
        <v>1657</v>
      </c>
    </row>
    <row r="211" spans="1:10" x14ac:dyDescent="0.25">
      <c r="A211" s="24">
        <v>46084.521782407406</v>
      </c>
      <c r="B211">
        <v>4</v>
      </c>
      <c r="C211" t="s">
        <v>2487</v>
      </c>
      <c r="D211" t="s">
        <v>2737</v>
      </c>
      <c r="E211">
        <v>1</v>
      </c>
      <c r="F211" t="s">
        <v>2492</v>
      </c>
      <c r="G211" t="s">
        <v>2446</v>
      </c>
      <c r="H211" t="s">
        <v>2738</v>
      </c>
      <c r="I211" t="s">
        <v>1672</v>
      </c>
      <c r="J211" t="s">
        <v>1676</v>
      </c>
    </row>
    <row r="212" spans="1:10" x14ac:dyDescent="0.25">
      <c r="A212" s="24">
        <v>46084.521793981483</v>
      </c>
      <c r="B212">
        <v>2</v>
      </c>
      <c r="C212" t="s">
        <v>2468</v>
      </c>
      <c r="D212" t="s">
        <v>2739</v>
      </c>
      <c r="E212">
        <v>1</v>
      </c>
      <c r="F212" t="s">
        <v>2493</v>
      </c>
      <c r="G212" t="s">
        <v>2446</v>
      </c>
      <c r="H212" t="s">
        <v>2740</v>
      </c>
      <c r="I212" t="s">
        <v>2122</v>
      </c>
      <c r="J212" t="s">
        <v>2305</v>
      </c>
    </row>
    <row r="213" spans="1:10" x14ac:dyDescent="0.25">
      <c r="A213" s="24">
        <v>46084.521805555552</v>
      </c>
      <c r="B213">
        <v>5</v>
      </c>
      <c r="C213" t="s">
        <v>2487</v>
      </c>
      <c r="D213" t="s">
        <v>2741</v>
      </c>
      <c r="E213">
        <v>1</v>
      </c>
      <c r="F213" t="s">
        <v>2494</v>
      </c>
      <c r="G213" t="s">
        <v>2446</v>
      </c>
      <c r="H213" t="s">
        <v>2742</v>
      </c>
      <c r="I213" t="s">
        <v>1694</v>
      </c>
      <c r="J213" t="s">
        <v>1698</v>
      </c>
    </row>
    <row r="214" spans="1:10" x14ac:dyDescent="0.25">
      <c r="A214" s="24">
        <v>46084.521817129629</v>
      </c>
      <c r="B214">
        <v>6</v>
      </c>
      <c r="C214" t="s">
        <v>2487</v>
      </c>
      <c r="D214" t="s">
        <v>2743</v>
      </c>
      <c r="E214">
        <v>1</v>
      </c>
      <c r="F214" t="s">
        <v>2495</v>
      </c>
      <c r="G214" t="s">
        <v>2446</v>
      </c>
      <c r="H214" t="s">
        <v>2744</v>
      </c>
      <c r="I214" t="s">
        <v>1718</v>
      </c>
      <c r="J214" t="s">
        <v>1722</v>
      </c>
    </row>
    <row r="215" spans="1:10" x14ac:dyDescent="0.25">
      <c r="A215" s="24">
        <v>46084.521828703706</v>
      </c>
      <c r="B215">
        <v>1</v>
      </c>
      <c r="C215" t="s">
        <v>2666</v>
      </c>
      <c r="D215" t="s">
        <v>1711</v>
      </c>
      <c r="E215">
        <v>1</v>
      </c>
      <c r="F215" t="s">
        <v>2667</v>
      </c>
      <c r="G215" t="s">
        <v>2446</v>
      </c>
      <c r="H215" t="s">
        <v>1711</v>
      </c>
    </row>
    <row r="216" spans="1:10" x14ac:dyDescent="0.25">
      <c r="A216" s="24">
        <v>46084.521828703706</v>
      </c>
      <c r="B216">
        <v>8</v>
      </c>
      <c r="C216" t="s">
        <v>2487</v>
      </c>
      <c r="D216" t="s">
        <v>2745</v>
      </c>
      <c r="E216">
        <v>1</v>
      </c>
      <c r="F216" t="s">
        <v>2496</v>
      </c>
      <c r="G216" t="s">
        <v>2446</v>
      </c>
      <c r="H216" t="s">
        <v>2746</v>
      </c>
      <c r="I216" t="s">
        <v>1760</v>
      </c>
      <c r="J216" t="s">
        <v>1766</v>
      </c>
    </row>
    <row r="217" spans="1:10" x14ac:dyDescent="0.25">
      <c r="A217" s="24">
        <v>46084.521840277775</v>
      </c>
      <c r="B217">
        <v>9</v>
      </c>
      <c r="C217" t="s">
        <v>2487</v>
      </c>
      <c r="D217" t="s">
        <v>2747</v>
      </c>
      <c r="E217">
        <v>1</v>
      </c>
      <c r="F217" t="s">
        <v>2497</v>
      </c>
      <c r="G217" t="s">
        <v>2446</v>
      </c>
      <c r="H217" t="s">
        <v>2748</v>
      </c>
      <c r="I217" t="s">
        <v>1785</v>
      </c>
      <c r="J217" t="s">
        <v>1790</v>
      </c>
    </row>
    <row r="218" spans="1:10" x14ac:dyDescent="0.25">
      <c r="A218" s="24">
        <v>46084.521851851852</v>
      </c>
      <c r="B218">
        <v>1</v>
      </c>
      <c r="C218" t="s">
        <v>2498</v>
      </c>
      <c r="D218" t="s">
        <v>2749</v>
      </c>
      <c r="E218">
        <v>1</v>
      </c>
      <c r="F218" t="s">
        <v>2499</v>
      </c>
      <c r="G218" t="s">
        <v>2446</v>
      </c>
      <c r="H218" t="s">
        <v>2750</v>
      </c>
      <c r="I218" t="s">
        <v>1812</v>
      </c>
      <c r="J218" t="s">
        <v>1816</v>
      </c>
    </row>
    <row r="219" spans="1:10" x14ac:dyDescent="0.25">
      <c r="A219" s="24">
        <v>46084.521863425929</v>
      </c>
      <c r="B219">
        <v>2</v>
      </c>
      <c r="C219" t="s">
        <v>2498</v>
      </c>
      <c r="D219" t="s">
        <v>2751</v>
      </c>
      <c r="E219">
        <v>1</v>
      </c>
      <c r="F219" t="s">
        <v>2500</v>
      </c>
      <c r="G219" t="s">
        <v>2446</v>
      </c>
      <c r="H219" t="s">
        <v>2752</v>
      </c>
      <c r="I219" t="s">
        <v>1830</v>
      </c>
      <c r="J219" t="s">
        <v>1835</v>
      </c>
    </row>
    <row r="220" spans="1:10" x14ac:dyDescent="0.25">
      <c r="A220" s="24">
        <v>46084.521874999999</v>
      </c>
      <c r="B220">
        <v>3</v>
      </c>
      <c r="C220" t="s">
        <v>2498</v>
      </c>
      <c r="D220" t="s">
        <v>2753</v>
      </c>
      <c r="E220">
        <v>1</v>
      </c>
      <c r="F220" t="s">
        <v>2501</v>
      </c>
      <c r="G220" t="s">
        <v>2446</v>
      </c>
      <c r="H220" t="s">
        <v>2754</v>
      </c>
      <c r="I220" t="s">
        <v>1862</v>
      </c>
      <c r="J220" t="s">
        <v>1867</v>
      </c>
    </row>
    <row r="221" spans="1:10" x14ac:dyDescent="0.25">
      <c r="A221" s="24">
        <v>46084.521886574075</v>
      </c>
      <c r="B221">
        <v>4</v>
      </c>
      <c r="C221" t="s">
        <v>2498</v>
      </c>
      <c r="D221" t="s">
        <v>2755</v>
      </c>
      <c r="E221">
        <v>1</v>
      </c>
      <c r="F221" t="s">
        <v>2502</v>
      </c>
      <c r="G221" t="s">
        <v>2446</v>
      </c>
      <c r="H221" t="s">
        <v>2756</v>
      </c>
      <c r="I221" t="s">
        <v>1883</v>
      </c>
      <c r="J221" t="s">
        <v>1891</v>
      </c>
    </row>
    <row r="222" spans="1:10" x14ac:dyDescent="0.25">
      <c r="A222" s="24">
        <v>46084.521886574075</v>
      </c>
      <c r="B222">
        <v>1</v>
      </c>
      <c r="C222" t="s">
        <v>2660</v>
      </c>
      <c r="D222" t="s">
        <v>2757</v>
      </c>
      <c r="E222">
        <v>1</v>
      </c>
      <c r="F222" t="s">
        <v>2668</v>
      </c>
      <c r="G222" t="s">
        <v>2446</v>
      </c>
      <c r="H222" t="s">
        <v>2758</v>
      </c>
      <c r="I222" t="s">
        <v>1920</v>
      </c>
      <c r="J222" t="s">
        <v>1973</v>
      </c>
    </row>
    <row r="223" spans="1:10" x14ac:dyDescent="0.25">
      <c r="A223" s="24">
        <v>46084.521898148145</v>
      </c>
      <c r="B223">
        <v>5</v>
      </c>
      <c r="C223" t="s">
        <v>2498</v>
      </c>
      <c r="D223" t="s">
        <v>2759</v>
      </c>
      <c r="E223">
        <v>1</v>
      </c>
      <c r="F223" t="s">
        <v>2503</v>
      </c>
      <c r="G223" t="s">
        <v>2446</v>
      </c>
      <c r="H223" t="s">
        <v>2760</v>
      </c>
      <c r="I223" t="s">
        <v>1906</v>
      </c>
      <c r="J223" t="s">
        <v>1915</v>
      </c>
    </row>
    <row r="224" spans="1:10" x14ac:dyDescent="0.25">
      <c r="A224" s="24">
        <v>46084.521909722222</v>
      </c>
      <c r="B224">
        <v>6</v>
      </c>
      <c r="C224" t="s">
        <v>2498</v>
      </c>
      <c r="D224" t="s">
        <v>2761</v>
      </c>
      <c r="E224">
        <v>1</v>
      </c>
      <c r="F224" t="s">
        <v>2504</v>
      </c>
      <c r="G224" t="s">
        <v>2446</v>
      </c>
      <c r="H224" t="s">
        <v>2762</v>
      </c>
      <c r="I224" t="s">
        <v>1938</v>
      </c>
      <c r="J224" t="s">
        <v>1944</v>
      </c>
    </row>
    <row r="225" spans="1:10" x14ac:dyDescent="0.25">
      <c r="A225" s="24">
        <v>46084.521921296298</v>
      </c>
      <c r="B225">
        <v>7</v>
      </c>
      <c r="C225" t="s">
        <v>2498</v>
      </c>
      <c r="D225" t="s">
        <v>2763</v>
      </c>
      <c r="E225">
        <v>1</v>
      </c>
      <c r="F225" t="s">
        <v>2505</v>
      </c>
      <c r="G225" t="s">
        <v>2446</v>
      </c>
      <c r="H225" t="s">
        <v>2764</v>
      </c>
      <c r="I225" t="s">
        <v>1958</v>
      </c>
      <c r="J225" t="s">
        <v>1968</v>
      </c>
    </row>
    <row r="226" spans="1:10" x14ac:dyDescent="0.25">
      <c r="A226" s="24">
        <v>46084.521932870368</v>
      </c>
      <c r="B226">
        <v>8</v>
      </c>
      <c r="C226" t="s">
        <v>2498</v>
      </c>
      <c r="D226" t="s">
        <v>2765</v>
      </c>
      <c r="E226">
        <v>1</v>
      </c>
      <c r="F226" t="s">
        <v>2506</v>
      </c>
      <c r="G226" t="s">
        <v>2446</v>
      </c>
      <c r="H226" t="s">
        <v>2766</v>
      </c>
      <c r="I226" t="s">
        <v>1984</v>
      </c>
      <c r="J226" t="s">
        <v>1989</v>
      </c>
    </row>
    <row r="227" spans="1:10" x14ac:dyDescent="0.25">
      <c r="A227" s="24">
        <v>46084.521944444445</v>
      </c>
      <c r="B227">
        <v>9</v>
      </c>
      <c r="C227" t="s">
        <v>2498</v>
      </c>
      <c r="D227" t="s">
        <v>2767</v>
      </c>
      <c r="E227">
        <v>1</v>
      </c>
      <c r="F227" t="s">
        <v>2507</v>
      </c>
      <c r="G227" t="s">
        <v>2446</v>
      </c>
      <c r="H227" t="s">
        <v>2768</v>
      </c>
      <c r="I227" t="s">
        <v>2009</v>
      </c>
      <c r="J227" t="s">
        <v>2018</v>
      </c>
    </row>
    <row r="228" spans="1:10" x14ac:dyDescent="0.25">
      <c r="A228" s="24">
        <v>46084.521944444445</v>
      </c>
      <c r="B228">
        <v>1</v>
      </c>
      <c r="C228" t="s">
        <v>2508</v>
      </c>
      <c r="D228" t="s">
        <v>2769</v>
      </c>
      <c r="E228">
        <v>1</v>
      </c>
      <c r="F228" t="s">
        <v>2509</v>
      </c>
      <c r="G228" t="s">
        <v>2446</v>
      </c>
      <c r="H228" t="s">
        <v>2770</v>
      </c>
      <c r="I228" t="s">
        <v>2033</v>
      </c>
      <c r="J228" t="s">
        <v>2038</v>
      </c>
    </row>
    <row r="229" spans="1:10" x14ac:dyDescent="0.25">
      <c r="A229" s="24">
        <v>46084.521956018521</v>
      </c>
      <c r="B229">
        <v>2</v>
      </c>
      <c r="C229" t="s">
        <v>2508</v>
      </c>
      <c r="D229" t="s">
        <v>2771</v>
      </c>
      <c r="E229">
        <v>1</v>
      </c>
      <c r="F229" t="s">
        <v>2510</v>
      </c>
      <c r="G229" t="s">
        <v>2446</v>
      </c>
      <c r="H229" t="s">
        <v>2772</v>
      </c>
      <c r="I229" t="s">
        <v>2059</v>
      </c>
      <c r="J229" t="s">
        <v>2773</v>
      </c>
    </row>
    <row r="230" spans="1:10" x14ac:dyDescent="0.25">
      <c r="A230" s="24">
        <v>46084.521967592591</v>
      </c>
      <c r="B230">
        <v>3</v>
      </c>
      <c r="C230" t="s">
        <v>2508</v>
      </c>
      <c r="D230" t="s">
        <v>2774</v>
      </c>
      <c r="E230">
        <v>1</v>
      </c>
      <c r="F230" t="s">
        <v>2511</v>
      </c>
      <c r="G230" t="s">
        <v>2446</v>
      </c>
      <c r="H230" t="s">
        <v>2775</v>
      </c>
      <c r="I230" t="s">
        <v>2085</v>
      </c>
      <c r="J230" t="s">
        <v>2089</v>
      </c>
    </row>
    <row r="231" spans="1:10" x14ac:dyDescent="0.25">
      <c r="A231" s="24">
        <v>46084.521979166668</v>
      </c>
      <c r="B231">
        <v>9</v>
      </c>
      <c r="C231" t="s">
        <v>2508</v>
      </c>
      <c r="D231" t="s">
        <v>2776</v>
      </c>
      <c r="E231">
        <v>1</v>
      </c>
      <c r="F231" t="s">
        <v>2512</v>
      </c>
      <c r="G231" t="s">
        <v>2446</v>
      </c>
      <c r="H231" t="s">
        <v>2777</v>
      </c>
      <c r="I231" t="s">
        <v>2206</v>
      </c>
      <c r="J231" t="s">
        <v>2211</v>
      </c>
    </row>
    <row r="232" spans="1:10" x14ac:dyDescent="0.25">
      <c r="A232" s="24">
        <v>46084.521990740737</v>
      </c>
      <c r="B232">
        <v>4</v>
      </c>
      <c r="C232" t="s">
        <v>2508</v>
      </c>
      <c r="D232" t="s">
        <v>2778</v>
      </c>
      <c r="E232">
        <v>1</v>
      </c>
      <c r="F232" t="s">
        <v>2513</v>
      </c>
      <c r="G232" t="s">
        <v>2446</v>
      </c>
      <c r="H232" t="s">
        <v>2779</v>
      </c>
      <c r="I232" t="s">
        <v>2103</v>
      </c>
      <c r="J232" t="s">
        <v>2108</v>
      </c>
    </row>
    <row r="233" spans="1:10" x14ac:dyDescent="0.25">
      <c r="A233" s="24">
        <v>46084.522002314814</v>
      </c>
      <c r="B233">
        <v>7</v>
      </c>
      <c r="C233" t="s">
        <v>2508</v>
      </c>
      <c r="D233" t="s">
        <v>2780</v>
      </c>
      <c r="E233">
        <v>1</v>
      </c>
      <c r="F233" t="s">
        <v>2514</v>
      </c>
      <c r="G233" t="s">
        <v>2446</v>
      </c>
      <c r="H233" t="s">
        <v>2781</v>
      </c>
      <c r="I233" t="s">
        <v>2175</v>
      </c>
      <c r="J233" t="s">
        <v>2183</v>
      </c>
    </row>
    <row r="234" spans="1:10" x14ac:dyDescent="0.25">
      <c r="A234" s="24">
        <v>46084.522002314814</v>
      </c>
      <c r="B234">
        <v>5</v>
      </c>
      <c r="C234" t="s">
        <v>2508</v>
      </c>
      <c r="D234" t="s">
        <v>2782</v>
      </c>
      <c r="E234">
        <v>1</v>
      </c>
      <c r="F234" t="s">
        <v>2515</v>
      </c>
      <c r="G234" t="s">
        <v>2446</v>
      </c>
      <c r="H234" t="s">
        <v>2783</v>
      </c>
      <c r="I234" t="s">
        <v>2131</v>
      </c>
      <c r="J234" t="s">
        <v>2136</v>
      </c>
    </row>
    <row r="235" spans="1:10" x14ac:dyDescent="0.25">
      <c r="A235" s="24">
        <v>46084.522013888891</v>
      </c>
      <c r="B235">
        <v>6</v>
      </c>
      <c r="C235" t="s">
        <v>2508</v>
      </c>
      <c r="D235" t="s">
        <v>2784</v>
      </c>
      <c r="E235">
        <v>1</v>
      </c>
      <c r="F235" t="s">
        <v>2516</v>
      </c>
      <c r="G235" t="s">
        <v>2446</v>
      </c>
      <c r="H235" t="s">
        <v>2785</v>
      </c>
      <c r="I235" t="s">
        <v>2156</v>
      </c>
      <c r="J235" t="s">
        <v>2162</v>
      </c>
    </row>
    <row r="236" spans="1:10" x14ac:dyDescent="0.25">
      <c r="A236" s="24">
        <v>46084.52202546296</v>
      </c>
      <c r="B236">
        <v>8</v>
      </c>
      <c r="C236" t="s">
        <v>2508</v>
      </c>
      <c r="D236" t="s">
        <v>2786</v>
      </c>
      <c r="E236">
        <v>1</v>
      </c>
      <c r="F236" t="s">
        <v>2517</v>
      </c>
      <c r="G236" t="s">
        <v>2446</v>
      </c>
      <c r="H236" t="s">
        <v>2787</v>
      </c>
      <c r="I236" t="s">
        <v>2192</v>
      </c>
      <c r="J236" t="s">
        <v>2197</v>
      </c>
    </row>
    <row r="237" spans="1:10" x14ac:dyDescent="0.25">
      <c r="A237" s="24">
        <v>46084.522037037037</v>
      </c>
      <c r="B237">
        <v>2</v>
      </c>
      <c r="C237" t="s">
        <v>2470</v>
      </c>
      <c r="D237" t="s">
        <v>2788</v>
      </c>
      <c r="E237">
        <v>1</v>
      </c>
      <c r="F237" t="s">
        <v>2518</v>
      </c>
      <c r="G237" t="s">
        <v>2446</v>
      </c>
      <c r="H237" t="s">
        <v>2789</v>
      </c>
      <c r="I237" t="s">
        <v>2234</v>
      </c>
      <c r="J237" t="s">
        <v>2239</v>
      </c>
    </row>
    <row r="238" spans="1:10" x14ac:dyDescent="0.25">
      <c r="A238" s="24">
        <v>46084.522048611114</v>
      </c>
      <c r="B238">
        <v>1</v>
      </c>
      <c r="C238" t="s">
        <v>2519</v>
      </c>
      <c r="D238" t="s">
        <v>2790</v>
      </c>
      <c r="E238">
        <v>1</v>
      </c>
      <c r="F238" t="s">
        <v>2520</v>
      </c>
      <c r="G238" t="s">
        <v>2446</v>
      </c>
      <c r="H238" t="s">
        <v>2791</v>
      </c>
      <c r="I238" t="s">
        <v>2266</v>
      </c>
      <c r="J238" t="s">
        <v>2270</v>
      </c>
    </row>
    <row r="239" spans="1:10" x14ac:dyDescent="0.25">
      <c r="A239" s="24">
        <v>46084.522048611114</v>
      </c>
      <c r="B239">
        <v>2</v>
      </c>
      <c r="C239" t="s">
        <v>2519</v>
      </c>
      <c r="D239" t="s">
        <v>2792</v>
      </c>
      <c r="E239">
        <v>1</v>
      </c>
      <c r="F239" t="s">
        <v>2521</v>
      </c>
      <c r="G239" t="s">
        <v>2446</v>
      </c>
      <c r="H239" t="s">
        <v>2793</v>
      </c>
      <c r="I239" t="s">
        <v>2286</v>
      </c>
      <c r="J239" t="s">
        <v>2291</v>
      </c>
    </row>
    <row r="240" spans="1:10" x14ac:dyDescent="0.25">
      <c r="A240" s="24">
        <v>46084.522060185183</v>
      </c>
      <c r="B240">
        <v>1</v>
      </c>
      <c r="C240" t="s">
        <v>2522</v>
      </c>
      <c r="D240" t="s">
        <v>2794</v>
      </c>
      <c r="E240">
        <v>1</v>
      </c>
      <c r="F240" t="s">
        <v>2523</v>
      </c>
      <c r="G240" t="s">
        <v>2446</v>
      </c>
      <c r="H240" t="s">
        <v>2795</v>
      </c>
      <c r="I240" t="s">
        <v>2310</v>
      </c>
      <c r="J240" t="s">
        <v>2314</v>
      </c>
    </row>
    <row r="241" spans="1:10" x14ac:dyDescent="0.25">
      <c r="A241" s="24">
        <v>46084.52207175926</v>
      </c>
      <c r="B241">
        <v>1</v>
      </c>
      <c r="C241" t="s">
        <v>2524</v>
      </c>
      <c r="D241" t="s">
        <v>2796</v>
      </c>
      <c r="E241">
        <v>1</v>
      </c>
      <c r="F241" t="s">
        <v>2525</v>
      </c>
      <c r="G241" t="s">
        <v>2446</v>
      </c>
      <c r="H241" t="s">
        <v>2797</v>
      </c>
      <c r="I241" t="s">
        <v>2334</v>
      </c>
      <c r="J241" t="s">
        <v>2339</v>
      </c>
    </row>
    <row r="242" spans="1:10" x14ac:dyDescent="0.25">
      <c r="A242" s="24">
        <v>46084.522893518515</v>
      </c>
      <c r="B242">
        <v>8</v>
      </c>
      <c r="C242" t="s">
        <v>2455</v>
      </c>
      <c r="D242" t="s">
        <v>2674</v>
      </c>
      <c r="E242">
        <v>1</v>
      </c>
      <c r="F242" t="s">
        <v>2456</v>
      </c>
      <c r="G242" t="s">
        <v>2446</v>
      </c>
      <c r="H242" t="s">
        <v>2675</v>
      </c>
      <c r="I242" t="s">
        <v>1336</v>
      </c>
      <c r="J242" t="s">
        <v>1341</v>
      </c>
    </row>
    <row r="243" spans="1:10" x14ac:dyDescent="0.25">
      <c r="A243" s="24">
        <v>46084.522916666669</v>
      </c>
      <c r="B243">
        <v>1</v>
      </c>
      <c r="C243" t="s">
        <v>2457</v>
      </c>
      <c r="D243" t="s">
        <v>2676</v>
      </c>
      <c r="E243">
        <v>1</v>
      </c>
      <c r="F243" t="s">
        <v>2458</v>
      </c>
      <c r="G243" t="s">
        <v>2446</v>
      </c>
      <c r="H243" t="s">
        <v>2677</v>
      </c>
      <c r="I243" t="s">
        <v>1162</v>
      </c>
      <c r="J243" t="s">
        <v>1168</v>
      </c>
    </row>
    <row r="244" spans="1:10" x14ac:dyDescent="0.25">
      <c r="A244" s="24">
        <v>46084.522928240738</v>
      </c>
      <c r="B244">
        <v>1</v>
      </c>
      <c r="C244" t="s">
        <v>2459</v>
      </c>
      <c r="D244" t="s">
        <v>2678</v>
      </c>
      <c r="E244">
        <v>1</v>
      </c>
      <c r="F244" t="s">
        <v>2460</v>
      </c>
      <c r="G244" t="s">
        <v>2446</v>
      </c>
      <c r="H244" t="s">
        <v>2679</v>
      </c>
      <c r="I244" t="s">
        <v>1183</v>
      </c>
      <c r="J244" t="s">
        <v>1187</v>
      </c>
    </row>
    <row r="245" spans="1:10" x14ac:dyDescent="0.25">
      <c r="A245" s="24">
        <v>46084.522939814815</v>
      </c>
      <c r="B245">
        <v>1</v>
      </c>
      <c r="C245" t="s">
        <v>2455</v>
      </c>
      <c r="D245" t="s">
        <v>2680</v>
      </c>
      <c r="E245">
        <v>1</v>
      </c>
      <c r="F245" t="s">
        <v>2461</v>
      </c>
      <c r="G245" t="s">
        <v>2446</v>
      </c>
      <c r="H245" t="s">
        <v>2681</v>
      </c>
      <c r="I245" t="s">
        <v>1197</v>
      </c>
      <c r="J245" t="s">
        <v>1201</v>
      </c>
    </row>
    <row r="246" spans="1:10" x14ac:dyDescent="0.25">
      <c r="A246" s="24">
        <v>46084.522951388892</v>
      </c>
      <c r="B246">
        <v>2</v>
      </c>
      <c r="C246" t="s">
        <v>2455</v>
      </c>
      <c r="D246" t="s">
        <v>2682</v>
      </c>
      <c r="E246">
        <v>1</v>
      </c>
      <c r="F246" t="s">
        <v>2462</v>
      </c>
      <c r="G246" t="s">
        <v>2446</v>
      </c>
      <c r="H246" t="s">
        <v>2683</v>
      </c>
      <c r="I246" t="s">
        <v>1215</v>
      </c>
      <c r="J246" t="s">
        <v>1220</v>
      </c>
    </row>
    <row r="247" spans="1:10" x14ac:dyDescent="0.25">
      <c r="A247" s="24">
        <v>46084.522974537038</v>
      </c>
      <c r="B247">
        <v>7</v>
      </c>
      <c r="C247" t="s">
        <v>2455</v>
      </c>
      <c r="D247" t="s">
        <v>2684</v>
      </c>
      <c r="E247">
        <v>1</v>
      </c>
      <c r="F247" t="s">
        <v>2463</v>
      </c>
      <c r="G247" t="s">
        <v>2446</v>
      </c>
      <c r="H247" t="s">
        <v>2685</v>
      </c>
      <c r="I247" t="s">
        <v>1318</v>
      </c>
      <c r="J247" t="s">
        <v>1325</v>
      </c>
    </row>
    <row r="248" spans="1:10" x14ac:dyDescent="0.25">
      <c r="A248" s="24">
        <v>46084.522986111115</v>
      </c>
      <c r="B248">
        <v>3</v>
      </c>
      <c r="C248" t="s">
        <v>2455</v>
      </c>
      <c r="D248" t="s">
        <v>2686</v>
      </c>
      <c r="E248">
        <v>1</v>
      </c>
      <c r="F248" t="s">
        <v>2464</v>
      </c>
      <c r="G248" t="s">
        <v>2446</v>
      </c>
      <c r="H248" t="s">
        <v>2687</v>
      </c>
      <c r="I248" t="s">
        <v>1242</v>
      </c>
      <c r="J248" t="s">
        <v>1248</v>
      </c>
    </row>
    <row r="249" spans="1:10" x14ac:dyDescent="0.25">
      <c r="A249" s="24">
        <v>46084.522997685184</v>
      </c>
      <c r="B249">
        <v>4</v>
      </c>
      <c r="C249" t="s">
        <v>2455</v>
      </c>
      <c r="D249" t="s">
        <v>2688</v>
      </c>
      <c r="E249">
        <v>1</v>
      </c>
      <c r="F249" t="s">
        <v>2465</v>
      </c>
      <c r="G249" t="s">
        <v>2446</v>
      </c>
      <c r="H249" t="s">
        <v>2689</v>
      </c>
      <c r="I249" t="s">
        <v>1262</v>
      </c>
      <c r="J249" t="s">
        <v>1267</v>
      </c>
    </row>
    <row r="250" spans="1:10" x14ac:dyDescent="0.25">
      <c r="A250" s="24">
        <v>46084.523009259261</v>
      </c>
      <c r="B250">
        <v>5</v>
      </c>
      <c r="C250" t="s">
        <v>2455</v>
      </c>
      <c r="D250" t="s">
        <v>2690</v>
      </c>
      <c r="E250">
        <v>1</v>
      </c>
      <c r="F250" t="s">
        <v>2466</v>
      </c>
      <c r="G250" t="s">
        <v>2446</v>
      </c>
      <c r="H250" t="s">
        <v>2691</v>
      </c>
      <c r="I250" t="s">
        <v>1282</v>
      </c>
      <c r="J250" t="s">
        <v>1288</v>
      </c>
    </row>
    <row r="251" spans="1:10" x14ac:dyDescent="0.25">
      <c r="A251" s="24">
        <v>46084.523032407407</v>
      </c>
      <c r="B251">
        <v>6</v>
      </c>
      <c r="C251" t="s">
        <v>2455</v>
      </c>
      <c r="D251" t="s">
        <v>2692</v>
      </c>
      <c r="E251">
        <v>1</v>
      </c>
      <c r="F251" t="s">
        <v>2467</v>
      </c>
      <c r="G251" t="s">
        <v>2446</v>
      </c>
      <c r="H251" t="s">
        <v>2693</v>
      </c>
      <c r="I251" t="s">
        <v>1302</v>
      </c>
      <c r="J251" t="s">
        <v>2694</v>
      </c>
    </row>
    <row r="252" spans="1:10" x14ac:dyDescent="0.25">
      <c r="A252" s="24">
        <v>46084.523043981484</v>
      </c>
      <c r="B252">
        <v>1</v>
      </c>
      <c r="C252" t="s">
        <v>2468</v>
      </c>
      <c r="D252" t="s">
        <v>2695</v>
      </c>
      <c r="E252">
        <v>1</v>
      </c>
      <c r="F252" t="s">
        <v>2469</v>
      </c>
      <c r="G252" t="s">
        <v>2446</v>
      </c>
      <c r="H252" t="s">
        <v>2696</v>
      </c>
      <c r="I252" t="s">
        <v>1450</v>
      </c>
      <c r="J252" t="s">
        <v>1501</v>
      </c>
    </row>
    <row r="253" spans="1:10" x14ac:dyDescent="0.25">
      <c r="A253" s="24">
        <v>46084.523055555554</v>
      </c>
      <c r="B253">
        <v>1</v>
      </c>
      <c r="C253" t="s">
        <v>2470</v>
      </c>
      <c r="D253" t="s">
        <v>2697</v>
      </c>
      <c r="E253">
        <v>1</v>
      </c>
      <c r="F253" t="s">
        <v>2471</v>
      </c>
      <c r="G253" t="s">
        <v>2446</v>
      </c>
      <c r="H253" t="s">
        <v>2698</v>
      </c>
      <c r="I253" t="s">
        <v>1579</v>
      </c>
      <c r="J253" t="s">
        <v>2166</v>
      </c>
    </row>
    <row r="254" spans="1:10" x14ac:dyDescent="0.25">
      <c r="A254" s="24">
        <v>46084.52306712963</v>
      </c>
      <c r="B254">
        <v>9</v>
      </c>
      <c r="C254" t="s">
        <v>2455</v>
      </c>
      <c r="D254" t="s">
        <v>2699</v>
      </c>
      <c r="E254">
        <v>1</v>
      </c>
      <c r="F254" t="s">
        <v>2472</v>
      </c>
      <c r="G254" t="s">
        <v>2446</v>
      </c>
      <c r="H254" t="s">
        <v>2700</v>
      </c>
      <c r="I254" t="s">
        <v>2701</v>
      </c>
      <c r="J254" t="s">
        <v>1366</v>
      </c>
    </row>
    <row r="255" spans="1:10" x14ac:dyDescent="0.25">
      <c r="A255" s="24">
        <v>46084.523090277777</v>
      </c>
      <c r="B255">
        <v>1</v>
      </c>
      <c r="C255" t="s">
        <v>2473</v>
      </c>
      <c r="D255" t="s">
        <v>2702</v>
      </c>
      <c r="E255">
        <v>1</v>
      </c>
      <c r="F255" t="s">
        <v>2474</v>
      </c>
      <c r="G255" t="s">
        <v>2446</v>
      </c>
      <c r="H255" t="s">
        <v>2703</v>
      </c>
      <c r="I255" t="s">
        <v>1377</v>
      </c>
      <c r="J255" t="s">
        <v>1381</v>
      </c>
    </row>
    <row r="256" spans="1:10" x14ac:dyDescent="0.25">
      <c r="A256" s="24">
        <v>46084.523101851853</v>
      </c>
      <c r="B256">
        <v>2</v>
      </c>
      <c r="C256" t="s">
        <v>2473</v>
      </c>
      <c r="D256" t="s">
        <v>2704</v>
      </c>
      <c r="E256">
        <v>1</v>
      </c>
      <c r="F256" t="s">
        <v>2475</v>
      </c>
      <c r="G256" t="s">
        <v>2446</v>
      </c>
      <c r="H256" t="s">
        <v>2705</v>
      </c>
      <c r="I256" t="s">
        <v>1402</v>
      </c>
      <c r="J256" t="s">
        <v>1408</v>
      </c>
    </row>
    <row r="257" spans="1:10" x14ac:dyDescent="0.25">
      <c r="A257" s="24">
        <v>46084.523125</v>
      </c>
      <c r="B257">
        <v>2</v>
      </c>
      <c r="C257" t="s">
        <v>2660</v>
      </c>
      <c r="D257" t="s">
        <v>2706</v>
      </c>
      <c r="E257">
        <v>1</v>
      </c>
      <c r="F257" t="s">
        <v>2661</v>
      </c>
      <c r="G257" t="s">
        <v>2446</v>
      </c>
      <c r="H257" t="s">
        <v>2707</v>
      </c>
      <c r="I257" t="s">
        <v>1600</v>
      </c>
      <c r="J257" t="s">
        <v>2013</v>
      </c>
    </row>
    <row r="258" spans="1:10" x14ac:dyDescent="0.25">
      <c r="A258" s="24">
        <v>46084.523148148146</v>
      </c>
      <c r="B258">
        <v>3</v>
      </c>
      <c r="C258" t="s">
        <v>2473</v>
      </c>
      <c r="D258" t="s">
        <v>2708</v>
      </c>
      <c r="E258">
        <v>1</v>
      </c>
      <c r="F258" t="s">
        <v>2480</v>
      </c>
      <c r="G258" t="s">
        <v>2446</v>
      </c>
      <c r="H258" t="s">
        <v>2709</v>
      </c>
      <c r="I258" t="s">
        <v>1422</v>
      </c>
      <c r="J258" t="s">
        <v>1427</v>
      </c>
    </row>
    <row r="259" spans="1:10" x14ac:dyDescent="0.25">
      <c r="A259" s="24">
        <v>46084.523159722223</v>
      </c>
      <c r="B259">
        <v>5</v>
      </c>
      <c r="C259" t="s">
        <v>2473</v>
      </c>
      <c r="D259" t="s">
        <v>2710</v>
      </c>
      <c r="E259">
        <v>1</v>
      </c>
      <c r="F259" t="s">
        <v>2481</v>
      </c>
      <c r="G259" t="s">
        <v>2446</v>
      </c>
      <c r="H259" t="s">
        <v>2711</v>
      </c>
      <c r="I259" t="s">
        <v>795</v>
      </c>
      <c r="J259" t="s">
        <v>1473</v>
      </c>
    </row>
    <row r="260" spans="1:10" x14ac:dyDescent="0.25">
      <c r="A260" s="24">
        <v>46084.523182870369</v>
      </c>
      <c r="B260">
        <v>4</v>
      </c>
      <c r="C260" t="s">
        <v>2473</v>
      </c>
      <c r="D260" t="s">
        <v>2712</v>
      </c>
      <c r="E260">
        <v>1</v>
      </c>
      <c r="F260" t="s">
        <v>2482</v>
      </c>
      <c r="G260" t="s">
        <v>2446</v>
      </c>
      <c r="H260" t="s">
        <v>2713</v>
      </c>
      <c r="I260" t="s">
        <v>2714</v>
      </c>
      <c r="J260" t="s">
        <v>1453</v>
      </c>
    </row>
    <row r="261" spans="1:10" x14ac:dyDescent="0.25">
      <c r="A261" s="24">
        <v>46084.523194444446</v>
      </c>
      <c r="B261">
        <v>1</v>
      </c>
      <c r="C261" t="s">
        <v>2662</v>
      </c>
      <c r="D261" t="s">
        <v>2715</v>
      </c>
      <c r="E261">
        <v>1</v>
      </c>
      <c r="F261" t="s">
        <v>2663</v>
      </c>
      <c r="G261" t="s">
        <v>2446</v>
      </c>
      <c r="H261" t="s">
        <v>2716</v>
      </c>
      <c r="I261" t="s">
        <v>1532</v>
      </c>
      <c r="J261" t="s">
        <v>1540</v>
      </c>
    </row>
    <row r="262" spans="1:10" x14ac:dyDescent="0.25">
      <c r="A262" s="24">
        <v>46084.523217592592</v>
      </c>
      <c r="B262">
        <v>6</v>
      </c>
      <c r="C262" t="s">
        <v>2473</v>
      </c>
      <c r="D262" t="s">
        <v>2717</v>
      </c>
      <c r="E262">
        <v>1</v>
      </c>
      <c r="F262" t="s">
        <v>2483</v>
      </c>
      <c r="G262" t="s">
        <v>2446</v>
      </c>
      <c r="H262" t="s">
        <v>2718</v>
      </c>
      <c r="I262" t="s">
        <v>1478</v>
      </c>
      <c r="J262" t="s">
        <v>1483</v>
      </c>
    </row>
    <row r="263" spans="1:10" x14ac:dyDescent="0.25">
      <c r="A263" s="24">
        <v>46084.523229166669</v>
      </c>
      <c r="B263">
        <v>7</v>
      </c>
      <c r="C263" t="s">
        <v>2473</v>
      </c>
      <c r="D263" t="s">
        <v>2719</v>
      </c>
      <c r="E263">
        <v>1</v>
      </c>
      <c r="F263" t="s">
        <v>2484</v>
      </c>
      <c r="G263" t="s">
        <v>2446</v>
      </c>
      <c r="H263" t="s">
        <v>2720</v>
      </c>
      <c r="I263" t="s">
        <v>1509</v>
      </c>
      <c r="J263" t="s">
        <v>1514</v>
      </c>
    </row>
    <row r="264" spans="1:10" x14ac:dyDescent="0.25">
      <c r="A264" s="24">
        <v>46084.523263888892</v>
      </c>
      <c r="B264">
        <v>8</v>
      </c>
      <c r="C264" t="s">
        <v>2473</v>
      </c>
      <c r="D264" t="s">
        <v>2721</v>
      </c>
      <c r="E264">
        <v>1</v>
      </c>
      <c r="F264" t="s">
        <v>2485</v>
      </c>
      <c r="G264" t="s">
        <v>2446</v>
      </c>
      <c r="H264" t="s">
        <v>2722</v>
      </c>
      <c r="I264" t="s">
        <v>1527</v>
      </c>
      <c r="J264" t="s">
        <v>2723</v>
      </c>
    </row>
    <row r="265" spans="1:10" x14ac:dyDescent="0.25">
      <c r="A265" s="24">
        <v>46084.523287037038</v>
      </c>
      <c r="B265">
        <v>9</v>
      </c>
      <c r="C265" t="s">
        <v>2473</v>
      </c>
      <c r="D265" t="s">
        <v>2724</v>
      </c>
      <c r="E265">
        <v>1</v>
      </c>
      <c r="F265" t="s">
        <v>2486</v>
      </c>
      <c r="G265" t="s">
        <v>2446</v>
      </c>
      <c r="H265" t="s">
        <v>2725</v>
      </c>
      <c r="I265" t="s">
        <v>1550</v>
      </c>
      <c r="J265" t="s">
        <v>1560</v>
      </c>
    </row>
    <row r="266" spans="1:10" x14ac:dyDescent="0.25">
      <c r="A266" s="24">
        <v>46084.523298611108</v>
      </c>
      <c r="B266">
        <v>7</v>
      </c>
      <c r="C266" t="s">
        <v>2487</v>
      </c>
      <c r="D266" t="s">
        <v>2726</v>
      </c>
      <c r="E266">
        <v>1</v>
      </c>
      <c r="F266" t="s">
        <v>2488</v>
      </c>
      <c r="G266" t="s">
        <v>2446</v>
      </c>
      <c r="H266" t="s">
        <v>2727</v>
      </c>
      <c r="I266" t="s">
        <v>1738</v>
      </c>
      <c r="J266" t="s">
        <v>1742</v>
      </c>
    </row>
    <row r="267" spans="1:10" x14ac:dyDescent="0.25">
      <c r="A267" s="24">
        <v>46084.523321759261</v>
      </c>
      <c r="B267">
        <v>1</v>
      </c>
      <c r="C267" t="s">
        <v>2487</v>
      </c>
      <c r="D267" t="s">
        <v>2728</v>
      </c>
      <c r="E267">
        <v>1</v>
      </c>
      <c r="F267" t="s">
        <v>2489</v>
      </c>
      <c r="G267" t="s">
        <v>2446</v>
      </c>
      <c r="H267" t="s">
        <v>2729</v>
      </c>
      <c r="I267" t="s">
        <v>1605</v>
      </c>
      <c r="J267" t="s">
        <v>1610</v>
      </c>
    </row>
    <row r="268" spans="1:10" x14ac:dyDescent="0.25">
      <c r="A268" s="24">
        <v>46084.523344907408</v>
      </c>
      <c r="B268">
        <v>1</v>
      </c>
      <c r="C268" t="s">
        <v>2664</v>
      </c>
      <c r="D268" t="s">
        <v>2730</v>
      </c>
      <c r="E268">
        <v>1</v>
      </c>
      <c r="F268" t="s">
        <v>2665</v>
      </c>
      <c r="G268" t="s">
        <v>2446</v>
      </c>
      <c r="H268" t="s">
        <v>2731</v>
      </c>
      <c r="I268" t="s">
        <v>2732</v>
      </c>
      <c r="J268" t="s">
        <v>1840</v>
      </c>
    </row>
    <row r="269" spans="1:10" x14ac:dyDescent="0.25">
      <c r="A269" s="24">
        <v>46084.523368055554</v>
      </c>
      <c r="B269">
        <v>2</v>
      </c>
      <c r="C269" t="s">
        <v>2487</v>
      </c>
      <c r="D269" t="s">
        <v>2733</v>
      </c>
      <c r="E269">
        <v>1</v>
      </c>
      <c r="F269" t="s">
        <v>2490</v>
      </c>
      <c r="G269" t="s">
        <v>2446</v>
      </c>
      <c r="H269" t="s">
        <v>2734</v>
      </c>
      <c r="I269" t="s">
        <v>1630</v>
      </c>
      <c r="J269" t="s">
        <v>1635</v>
      </c>
    </row>
    <row r="270" spans="1:10" x14ac:dyDescent="0.25">
      <c r="A270" s="24">
        <v>46084.5233912037</v>
      </c>
      <c r="B270">
        <v>3</v>
      </c>
      <c r="C270" t="s">
        <v>2487</v>
      </c>
      <c r="D270" t="s">
        <v>2735</v>
      </c>
      <c r="E270">
        <v>1</v>
      </c>
      <c r="F270" t="s">
        <v>2491</v>
      </c>
      <c r="G270" t="s">
        <v>2446</v>
      </c>
      <c r="H270" t="s">
        <v>2736</v>
      </c>
      <c r="I270" t="s">
        <v>1648</v>
      </c>
      <c r="J270" t="s">
        <v>1657</v>
      </c>
    </row>
    <row r="271" spans="1:10" x14ac:dyDescent="0.25">
      <c r="A271" s="24">
        <v>46084.523402777777</v>
      </c>
      <c r="B271">
        <v>4</v>
      </c>
      <c r="C271" t="s">
        <v>2487</v>
      </c>
      <c r="D271" t="s">
        <v>2737</v>
      </c>
      <c r="E271">
        <v>1</v>
      </c>
      <c r="F271" t="s">
        <v>2492</v>
      </c>
      <c r="G271" t="s">
        <v>2446</v>
      </c>
      <c r="H271" t="s">
        <v>2738</v>
      </c>
      <c r="I271" t="s">
        <v>1672</v>
      </c>
      <c r="J271" t="s">
        <v>1676</v>
      </c>
    </row>
    <row r="272" spans="1:10" x14ac:dyDescent="0.25">
      <c r="A272" s="24">
        <v>46084.523425925923</v>
      </c>
      <c r="B272">
        <v>2</v>
      </c>
      <c r="C272" t="s">
        <v>2468</v>
      </c>
      <c r="D272" t="s">
        <v>2739</v>
      </c>
      <c r="E272">
        <v>1</v>
      </c>
      <c r="F272" t="s">
        <v>2493</v>
      </c>
      <c r="G272" t="s">
        <v>2446</v>
      </c>
      <c r="H272" t="s">
        <v>2740</v>
      </c>
      <c r="I272" t="s">
        <v>2122</v>
      </c>
      <c r="J272" t="s">
        <v>2305</v>
      </c>
    </row>
    <row r="273" spans="1:10" x14ac:dyDescent="0.25">
      <c r="A273" s="24">
        <v>46084.523449074077</v>
      </c>
      <c r="B273">
        <v>5</v>
      </c>
      <c r="C273" t="s">
        <v>2487</v>
      </c>
      <c r="D273" t="s">
        <v>2741</v>
      </c>
      <c r="E273">
        <v>1</v>
      </c>
      <c r="F273" t="s">
        <v>2494</v>
      </c>
      <c r="G273" t="s">
        <v>2446</v>
      </c>
      <c r="H273" t="s">
        <v>2742</v>
      </c>
      <c r="I273" t="s">
        <v>1694</v>
      </c>
      <c r="J273" t="s">
        <v>1698</v>
      </c>
    </row>
    <row r="274" spans="1:10" x14ac:dyDescent="0.25">
      <c r="A274" s="24">
        <v>46084.523460648146</v>
      </c>
      <c r="B274">
        <v>6</v>
      </c>
      <c r="C274" t="s">
        <v>2487</v>
      </c>
      <c r="D274" t="s">
        <v>2743</v>
      </c>
      <c r="E274">
        <v>1</v>
      </c>
      <c r="F274" t="s">
        <v>2495</v>
      </c>
      <c r="G274" t="s">
        <v>2446</v>
      </c>
      <c r="H274" t="s">
        <v>2744</v>
      </c>
      <c r="I274" t="s">
        <v>1718</v>
      </c>
      <c r="J274" t="s">
        <v>1722</v>
      </c>
    </row>
    <row r="275" spans="1:10" x14ac:dyDescent="0.25">
      <c r="A275" s="24">
        <v>46084.5234837963</v>
      </c>
      <c r="B275">
        <v>1</v>
      </c>
      <c r="C275" t="s">
        <v>2666</v>
      </c>
      <c r="D275" t="s">
        <v>1711</v>
      </c>
      <c r="E275">
        <v>1</v>
      </c>
      <c r="F275" t="s">
        <v>2667</v>
      </c>
      <c r="G275" t="s">
        <v>2446</v>
      </c>
      <c r="H275" t="s">
        <v>1711</v>
      </c>
    </row>
    <row r="276" spans="1:10" x14ac:dyDescent="0.25">
      <c r="A276" s="24">
        <v>46084.523495370369</v>
      </c>
      <c r="B276">
        <v>8</v>
      </c>
      <c r="C276" t="s">
        <v>2487</v>
      </c>
      <c r="D276" t="s">
        <v>2745</v>
      </c>
      <c r="E276">
        <v>1</v>
      </c>
      <c r="F276" t="s">
        <v>2496</v>
      </c>
      <c r="G276" t="s">
        <v>2446</v>
      </c>
      <c r="H276" t="s">
        <v>2746</v>
      </c>
      <c r="I276" t="s">
        <v>1760</v>
      </c>
      <c r="J276" t="s">
        <v>1766</v>
      </c>
    </row>
    <row r="277" spans="1:10" x14ac:dyDescent="0.25">
      <c r="A277" s="24">
        <v>46084.523518518516</v>
      </c>
      <c r="B277">
        <v>9</v>
      </c>
      <c r="C277" t="s">
        <v>2487</v>
      </c>
      <c r="D277" t="s">
        <v>2747</v>
      </c>
      <c r="E277">
        <v>1</v>
      </c>
      <c r="F277" t="s">
        <v>2497</v>
      </c>
      <c r="G277" t="s">
        <v>2446</v>
      </c>
      <c r="H277" t="s">
        <v>2748</v>
      </c>
      <c r="I277" t="s">
        <v>1785</v>
      </c>
      <c r="J277" t="s">
        <v>1790</v>
      </c>
    </row>
    <row r="278" spans="1:10" x14ac:dyDescent="0.25">
      <c r="A278" s="24">
        <v>46084.523530092592</v>
      </c>
      <c r="B278">
        <v>1</v>
      </c>
      <c r="C278" t="s">
        <v>2498</v>
      </c>
      <c r="D278" t="s">
        <v>2749</v>
      </c>
      <c r="E278">
        <v>1</v>
      </c>
      <c r="F278" t="s">
        <v>2499</v>
      </c>
      <c r="G278" t="s">
        <v>2446</v>
      </c>
      <c r="H278" t="s">
        <v>2750</v>
      </c>
      <c r="I278" t="s">
        <v>1812</v>
      </c>
      <c r="J278" t="s">
        <v>1816</v>
      </c>
    </row>
    <row r="279" spans="1:10" x14ac:dyDescent="0.25">
      <c r="A279" s="24">
        <v>46084.523553240739</v>
      </c>
      <c r="B279">
        <v>2</v>
      </c>
      <c r="C279" t="s">
        <v>2498</v>
      </c>
      <c r="D279" t="s">
        <v>2751</v>
      </c>
      <c r="E279">
        <v>1</v>
      </c>
      <c r="F279" t="s">
        <v>2500</v>
      </c>
      <c r="G279" t="s">
        <v>2446</v>
      </c>
      <c r="H279" t="s">
        <v>2752</v>
      </c>
      <c r="I279" t="s">
        <v>1830</v>
      </c>
      <c r="J279" t="s">
        <v>1835</v>
      </c>
    </row>
    <row r="280" spans="1:10" x14ac:dyDescent="0.25">
      <c r="A280" s="24">
        <v>46084.523564814815</v>
      </c>
      <c r="B280">
        <v>3</v>
      </c>
      <c r="C280" t="s">
        <v>2498</v>
      </c>
      <c r="D280" t="s">
        <v>2753</v>
      </c>
      <c r="E280">
        <v>1</v>
      </c>
      <c r="F280" t="s">
        <v>2501</v>
      </c>
      <c r="G280" t="s">
        <v>2446</v>
      </c>
      <c r="H280" t="s">
        <v>2754</v>
      </c>
      <c r="I280" t="s">
        <v>1862</v>
      </c>
      <c r="J280" t="s">
        <v>1867</v>
      </c>
    </row>
    <row r="281" spans="1:10" x14ac:dyDescent="0.25">
      <c r="A281" s="24">
        <v>46084.523587962962</v>
      </c>
      <c r="B281">
        <v>4</v>
      </c>
      <c r="C281" t="s">
        <v>2498</v>
      </c>
      <c r="D281" t="s">
        <v>2755</v>
      </c>
      <c r="E281">
        <v>1</v>
      </c>
      <c r="F281" t="s">
        <v>2502</v>
      </c>
      <c r="G281" t="s">
        <v>2446</v>
      </c>
      <c r="H281" t="s">
        <v>2756</v>
      </c>
      <c r="I281" t="s">
        <v>1883</v>
      </c>
      <c r="J281" t="s">
        <v>1891</v>
      </c>
    </row>
    <row r="282" spans="1:10" x14ac:dyDescent="0.25">
      <c r="A282" s="24">
        <v>46084.523599537039</v>
      </c>
      <c r="B282">
        <v>1</v>
      </c>
      <c r="C282" t="s">
        <v>2660</v>
      </c>
      <c r="D282" t="s">
        <v>2757</v>
      </c>
      <c r="E282">
        <v>1</v>
      </c>
      <c r="F282" t="s">
        <v>2668</v>
      </c>
      <c r="G282" t="s">
        <v>2446</v>
      </c>
      <c r="H282" t="s">
        <v>2758</v>
      </c>
      <c r="I282" t="s">
        <v>1920</v>
      </c>
      <c r="J282" t="s">
        <v>1973</v>
      </c>
    </row>
    <row r="283" spans="1:10" x14ac:dyDescent="0.25">
      <c r="A283" s="24">
        <v>46084.523622685185</v>
      </c>
      <c r="B283">
        <v>5</v>
      </c>
      <c r="C283" t="s">
        <v>2498</v>
      </c>
      <c r="D283" t="s">
        <v>2759</v>
      </c>
      <c r="E283">
        <v>1</v>
      </c>
      <c r="F283" t="s">
        <v>2503</v>
      </c>
      <c r="G283" t="s">
        <v>2446</v>
      </c>
      <c r="H283" t="s">
        <v>2760</v>
      </c>
      <c r="I283" t="s">
        <v>1906</v>
      </c>
      <c r="J283" t="s">
        <v>1915</v>
      </c>
    </row>
    <row r="284" spans="1:10" x14ac:dyDescent="0.25">
      <c r="A284" s="24">
        <v>46084.523634259262</v>
      </c>
      <c r="B284">
        <v>6</v>
      </c>
      <c r="C284" t="s">
        <v>2498</v>
      </c>
      <c r="D284" t="s">
        <v>2761</v>
      </c>
      <c r="E284">
        <v>1</v>
      </c>
      <c r="F284" t="s">
        <v>2504</v>
      </c>
      <c r="G284" t="s">
        <v>2446</v>
      </c>
      <c r="H284" t="s">
        <v>2762</v>
      </c>
      <c r="I284" t="s">
        <v>1938</v>
      </c>
      <c r="J284" t="s">
        <v>1944</v>
      </c>
    </row>
    <row r="285" spans="1:10" x14ac:dyDescent="0.25">
      <c r="A285" s="24">
        <v>46084.523657407408</v>
      </c>
      <c r="B285">
        <v>7</v>
      </c>
      <c r="C285" t="s">
        <v>2498</v>
      </c>
      <c r="D285" t="s">
        <v>2763</v>
      </c>
      <c r="E285">
        <v>1</v>
      </c>
      <c r="F285" t="s">
        <v>2505</v>
      </c>
      <c r="G285" t="s">
        <v>2446</v>
      </c>
      <c r="H285" t="s">
        <v>2764</v>
      </c>
      <c r="I285" t="s">
        <v>1958</v>
      </c>
      <c r="J285" t="s">
        <v>1968</v>
      </c>
    </row>
    <row r="286" spans="1:10" x14ac:dyDescent="0.25">
      <c r="A286" s="24">
        <v>46084.523668981485</v>
      </c>
      <c r="B286">
        <v>8</v>
      </c>
      <c r="C286" t="s">
        <v>2498</v>
      </c>
      <c r="D286" t="s">
        <v>2765</v>
      </c>
      <c r="E286">
        <v>1</v>
      </c>
      <c r="F286" t="s">
        <v>2506</v>
      </c>
      <c r="G286" t="s">
        <v>2446</v>
      </c>
      <c r="H286" t="s">
        <v>2766</v>
      </c>
      <c r="I286" t="s">
        <v>1984</v>
      </c>
      <c r="J286" t="s">
        <v>1989</v>
      </c>
    </row>
    <row r="287" spans="1:10" x14ac:dyDescent="0.25">
      <c r="A287" s="24">
        <v>46084.523692129631</v>
      </c>
      <c r="B287">
        <v>9</v>
      </c>
      <c r="C287" t="s">
        <v>2498</v>
      </c>
      <c r="D287" t="s">
        <v>2767</v>
      </c>
      <c r="E287">
        <v>1</v>
      </c>
      <c r="F287" t="s">
        <v>2507</v>
      </c>
      <c r="G287" t="s">
        <v>2446</v>
      </c>
      <c r="H287" t="s">
        <v>2768</v>
      </c>
      <c r="I287" t="s">
        <v>2009</v>
      </c>
      <c r="J287" t="s">
        <v>2018</v>
      </c>
    </row>
    <row r="288" spans="1:10" x14ac:dyDescent="0.25">
      <c r="A288" s="24">
        <v>46084.5237037037</v>
      </c>
      <c r="B288">
        <v>1</v>
      </c>
      <c r="C288" t="s">
        <v>2508</v>
      </c>
      <c r="D288" t="s">
        <v>2769</v>
      </c>
      <c r="E288">
        <v>1</v>
      </c>
      <c r="F288" t="s">
        <v>2509</v>
      </c>
      <c r="G288" t="s">
        <v>2446</v>
      </c>
      <c r="H288" t="s">
        <v>2770</v>
      </c>
      <c r="I288" t="s">
        <v>2033</v>
      </c>
      <c r="J288" t="s">
        <v>2038</v>
      </c>
    </row>
    <row r="289" spans="1:10" x14ac:dyDescent="0.25">
      <c r="A289" s="24">
        <v>46084.523726851854</v>
      </c>
      <c r="B289">
        <v>2</v>
      </c>
      <c r="C289" t="s">
        <v>2508</v>
      </c>
      <c r="D289" t="s">
        <v>2771</v>
      </c>
      <c r="E289">
        <v>1</v>
      </c>
      <c r="F289" t="s">
        <v>2510</v>
      </c>
      <c r="G289" t="s">
        <v>2446</v>
      </c>
      <c r="H289" t="s">
        <v>2772</v>
      </c>
      <c r="I289" t="s">
        <v>2059</v>
      </c>
      <c r="J289" t="s">
        <v>2773</v>
      </c>
    </row>
    <row r="290" spans="1:10" x14ac:dyDescent="0.25">
      <c r="A290" s="24">
        <v>46084.523738425924</v>
      </c>
      <c r="B290">
        <v>3</v>
      </c>
      <c r="C290" t="s">
        <v>2508</v>
      </c>
      <c r="D290" t="s">
        <v>2774</v>
      </c>
      <c r="E290">
        <v>1</v>
      </c>
      <c r="F290" t="s">
        <v>2511</v>
      </c>
      <c r="G290" t="s">
        <v>2446</v>
      </c>
      <c r="H290" t="s">
        <v>2775</v>
      </c>
      <c r="I290" t="s">
        <v>2085</v>
      </c>
      <c r="J290" t="s">
        <v>2089</v>
      </c>
    </row>
    <row r="291" spans="1:10" x14ac:dyDescent="0.25">
      <c r="A291" s="24">
        <v>46084.52375</v>
      </c>
      <c r="B291">
        <v>9</v>
      </c>
      <c r="C291" t="s">
        <v>2508</v>
      </c>
      <c r="D291" t="s">
        <v>2776</v>
      </c>
      <c r="E291">
        <v>1</v>
      </c>
      <c r="F291" t="s">
        <v>2512</v>
      </c>
      <c r="G291" t="s">
        <v>2446</v>
      </c>
      <c r="H291" t="s">
        <v>2777</v>
      </c>
      <c r="I291" t="s">
        <v>2206</v>
      </c>
      <c r="J291" t="s">
        <v>2211</v>
      </c>
    </row>
    <row r="292" spans="1:10" x14ac:dyDescent="0.25">
      <c r="A292" s="24">
        <v>46084.523773148147</v>
      </c>
      <c r="B292">
        <v>4</v>
      </c>
      <c r="C292" t="s">
        <v>2508</v>
      </c>
      <c r="D292" t="s">
        <v>2778</v>
      </c>
      <c r="E292">
        <v>1</v>
      </c>
      <c r="F292" t="s">
        <v>2513</v>
      </c>
      <c r="G292" t="s">
        <v>2446</v>
      </c>
      <c r="H292" t="s">
        <v>2779</v>
      </c>
      <c r="I292" t="s">
        <v>2103</v>
      </c>
      <c r="J292" t="s">
        <v>2108</v>
      </c>
    </row>
    <row r="293" spans="1:10" x14ac:dyDescent="0.25">
      <c r="A293" s="24">
        <v>46084.523784722223</v>
      </c>
      <c r="B293">
        <v>7</v>
      </c>
      <c r="C293" t="s">
        <v>2508</v>
      </c>
      <c r="D293" t="s">
        <v>2780</v>
      </c>
      <c r="E293">
        <v>1</v>
      </c>
      <c r="F293" t="s">
        <v>2514</v>
      </c>
      <c r="G293" t="s">
        <v>2446</v>
      </c>
      <c r="H293" t="s">
        <v>2781</v>
      </c>
      <c r="I293" t="s">
        <v>2175</v>
      </c>
      <c r="J293" t="s">
        <v>2183</v>
      </c>
    </row>
    <row r="294" spans="1:10" x14ac:dyDescent="0.25">
      <c r="A294" s="24">
        <v>46084.52380787037</v>
      </c>
      <c r="B294">
        <v>5</v>
      </c>
      <c r="C294" t="s">
        <v>2508</v>
      </c>
      <c r="D294" t="s">
        <v>2782</v>
      </c>
      <c r="E294">
        <v>1</v>
      </c>
      <c r="F294" t="s">
        <v>2515</v>
      </c>
      <c r="G294" t="s">
        <v>2446</v>
      </c>
      <c r="H294" t="s">
        <v>2783</v>
      </c>
      <c r="I294" t="s">
        <v>2131</v>
      </c>
      <c r="J294" t="s">
        <v>2136</v>
      </c>
    </row>
    <row r="295" spans="1:10" x14ac:dyDescent="0.25">
      <c r="A295" s="24">
        <v>46084.523819444446</v>
      </c>
      <c r="B295">
        <v>6</v>
      </c>
      <c r="C295" t="s">
        <v>2508</v>
      </c>
      <c r="D295" t="s">
        <v>2784</v>
      </c>
      <c r="E295">
        <v>1</v>
      </c>
      <c r="F295" t="s">
        <v>2516</v>
      </c>
      <c r="G295" t="s">
        <v>2446</v>
      </c>
      <c r="H295" t="s">
        <v>2785</v>
      </c>
      <c r="I295" t="s">
        <v>2156</v>
      </c>
      <c r="J295" t="s">
        <v>2162</v>
      </c>
    </row>
    <row r="296" spans="1:10" x14ac:dyDescent="0.25">
      <c r="A296" s="24">
        <v>46084.523842592593</v>
      </c>
      <c r="B296">
        <v>8</v>
      </c>
      <c r="C296" t="s">
        <v>2508</v>
      </c>
      <c r="D296" t="s">
        <v>2786</v>
      </c>
      <c r="E296">
        <v>1</v>
      </c>
      <c r="F296" t="s">
        <v>2517</v>
      </c>
      <c r="G296" t="s">
        <v>2446</v>
      </c>
      <c r="H296" t="s">
        <v>2787</v>
      </c>
      <c r="I296" t="s">
        <v>2192</v>
      </c>
      <c r="J296" t="s">
        <v>2197</v>
      </c>
    </row>
    <row r="297" spans="1:10" x14ac:dyDescent="0.25">
      <c r="A297" s="24">
        <v>46084.523854166669</v>
      </c>
      <c r="B297">
        <v>2</v>
      </c>
      <c r="C297" t="s">
        <v>2470</v>
      </c>
      <c r="D297" t="s">
        <v>2788</v>
      </c>
      <c r="E297">
        <v>1</v>
      </c>
      <c r="F297" t="s">
        <v>2518</v>
      </c>
      <c r="G297" t="s">
        <v>2446</v>
      </c>
      <c r="H297" t="s">
        <v>2789</v>
      </c>
      <c r="I297" t="s">
        <v>2234</v>
      </c>
      <c r="J297" t="s">
        <v>2239</v>
      </c>
    </row>
    <row r="298" spans="1:10" x14ac:dyDescent="0.25">
      <c r="A298" s="24">
        <v>46084.523865740739</v>
      </c>
      <c r="B298">
        <v>1</v>
      </c>
      <c r="C298" t="s">
        <v>2519</v>
      </c>
      <c r="D298" t="s">
        <v>2790</v>
      </c>
      <c r="E298">
        <v>1</v>
      </c>
      <c r="F298" t="s">
        <v>2520</v>
      </c>
      <c r="G298" t="s">
        <v>2446</v>
      </c>
      <c r="H298" t="s">
        <v>2791</v>
      </c>
      <c r="I298" t="s">
        <v>2266</v>
      </c>
      <c r="J298" t="s">
        <v>2270</v>
      </c>
    </row>
    <row r="299" spans="1:10" x14ac:dyDescent="0.25">
      <c r="A299" s="24">
        <v>46084.523888888885</v>
      </c>
      <c r="B299">
        <v>2</v>
      </c>
      <c r="C299" t="s">
        <v>2519</v>
      </c>
      <c r="D299" t="s">
        <v>2792</v>
      </c>
      <c r="E299">
        <v>1</v>
      </c>
      <c r="F299" t="s">
        <v>2521</v>
      </c>
      <c r="G299" t="s">
        <v>2446</v>
      </c>
      <c r="H299" t="s">
        <v>2793</v>
      </c>
      <c r="I299" t="s">
        <v>2286</v>
      </c>
      <c r="J299" t="s">
        <v>2291</v>
      </c>
    </row>
    <row r="300" spans="1:10" x14ac:dyDescent="0.25">
      <c r="A300" s="24">
        <v>46084.523900462962</v>
      </c>
      <c r="B300">
        <v>1</v>
      </c>
      <c r="C300" t="s">
        <v>2522</v>
      </c>
      <c r="D300" t="s">
        <v>2794</v>
      </c>
      <c r="E300">
        <v>1</v>
      </c>
      <c r="F300" t="s">
        <v>2523</v>
      </c>
      <c r="G300" t="s">
        <v>2446</v>
      </c>
      <c r="H300" t="s">
        <v>2795</v>
      </c>
      <c r="I300" t="s">
        <v>2310</v>
      </c>
      <c r="J300" t="s">
        <v>2314</v>
      </c>
    </row>
    <row r="301" spans="1:10" x14ac:dyDescent="0.25">
      <c r="A301" s="24">
        <v>46084.523923611108</v>
      </c>
      <c r="B301">
        <v>1</v>
      </c>
      <c r="C301" t="s">
        <v>2524</v>
      </c>
      <c r="D301" t="s">
        <v>2796</v>
      </c>
      <c r="E301">
        <v>1</v>
      </c>
      <c r="F301" t="s">
        <v>2525</v>
      </c>
      <c r="G301" t="s">
        <v>2446</v>
      </c>
      <c r="H301" t="s">
        <v>2797</v>
      </c>
      <c r="I301" t="s">
        <v>2334</v>
      </c>
      <c r="J301" t="s">
        <v>2339</v>
      </c>
    </row>
    <row r="302" spans="1:10" x14ac:dyDescent="0.25">
      <c r="A302" s="24">
        <v>46097.359050925923</v>
      </c>
      <c r="B302">
        <v>1</v>
      </c>
      <c r="C302" t="s">
        <v>2890</v>
      </c>
      <c r="D302" t="s">
        <v>2892</v>
      </c>
      <c r="E302">
        <v>1</v>
      </c>
      <c r="F302" t="s">
        <v>2891</v>
      </c>
      <c r="G302" t="s">
        <v>2446</v>
      </c>
      <c r="H302" t="s">
        <v>1381</v>
      </c>
      <c r="I302" t="s">
        <v>1514</v>
      </c>
      <c r="J302" t="s">
        <v>1944</v>
      </c>
    </row>
    <row r="303" spans="1:10" x14ac:dyDescent="0.25">
      <c r="A303" s="24">
        <v>46097.359074074076</v>
      </c>
      <c r="B303">
        <v>1</v>
      </c>
      <c r="C303" t="s">
        <v>2666</v>
      </c>
      <c r="D303" t="s">
        <v>2893</v>
      </c>
      <c r="E303">
        <v>1</v>
      </c>
      <c r="F303" t="s">
        <v>2667</v>
      </c>
      <c r="G303" t="s">
        <v>2446</v>
      </c>
      <c r="H303" t="s">
        <v>2894</v>
      </c>
      <c r="I303" t="s">
        <v>1711</v>
      </c>
      <c r="J303" t="s">
        <v>1915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feltoltrangsor" Type="http://schemas.openxmlformats.org/officeDocument/2006/relationships/image" Target="images/feltoltrangsor.png"/><Relationship Id="diakimport" Type="http://schemas.openxmlformats.org/officeDocument/2006/relationships/image" Target="images/diakimport.png"/><Relationship Id="backup_folder" Type="http://schemas.openxmlformats.org/officeDocument/2006/relationships/image" Target="images/backup_folder.png"/><Relationship Id="jelszoment" Type="http://schemas.openxmlformats.org/officeDocument/2006/relationships/image" Target="images/jelszoment.png"/><Relationship Id="dropdown" Type="http://schemas.openxmlformats.org/officeDocument/2006/relationships/image" Target="images/dropdown.png"/><Relationship Id="nevsor" Type="http://schemas.openxmlformats.org/officeDocument/2006/relationships/image" Target="images/nevsor.png"/><Relationship Id="ujratolt" Type="http://schemas.openxmlformats.org/officeDocument/2006/relationships/image" Target="images/ujratolt.png"/><Relationship Id="mailment" Type="http://schemas.openxmlformats.org/officeDocument/2006/relationships/image" Target="images/mailment.png"/><Relationship Id="pontimport" Type="http://schemas.openxmlformats.org/officeDocument/2006/relationships/image" Target="images/pontimport.png"/><Relationship Id="Backup" Type="http://schemas.openxmlformats.org/officeDocument/2006/relationships/image" Target="images/Backup.png"/><Relationship Id="iktatosz" Type="http://schemas.openxmlformats.org/officeDocument/2006/relationships/image" Target="images/iktatosz.png"/><Relationship Id="rangsor" Type="http://schemas.openxmlformats.org/officeDocument/2006/relationships/image" Target="images/rangsor.png"/><Relationship Id="pontszamokujra" Type="http://schemas.openxmlformats.org/officeDocument/2006/relationships/image" Target="images/pontszamokujra.png"/><Relationship Id="rangsorbeallit" Type="http://schemas.openxmlformats.org/officeDocument/2006/relationships/image" Target="images/rangsorbeallit.png"/><Relationship Id="ponthatartorol" Type="http://schemas.openxmlformats.org/officeDocument/2006/relationships/image" Target="images/ponthatartorol.png"/></Relationships>
</file>

<file path=customUI/customUI14.xml><?xml version="1.0" encoding="utf-8"?>
<customUI xmlns="http://schemas.microsoft.com/office/2009/07/customui">
  <ribbon>
    <tabs>
      <tab id="tabDiak" label="Diákkezelés">
        <group id="grpMuveletek" label="Műveletek">
          <button id="btnIktsz" label="Iktatószám beírás" image="iktatosz" size="large" onAction="KitoltIktsz_TablaAutomatikusan" screentip="Iktatószám generálása" supertip="Kitölti az iktsz oszlopot a listak táblában az oktazon alapján. Az ismétlődő oktazon értékek ugyanazt az iktatószámot kapják. A kezdő értéket meg kell adni."/>
          <button id="btnIskola" label="Iskola adatok frissítése" imageMso="AddressBook" size="large" onAction="ToltsdIskolaAdatokatPirosSargaHibaval" screentip="Iskolaadat-frissítés" supertip="Frissíti az iskola neve alapján diakadat tábla iskola oszlopait az iskola tábla alapján. A hiányzó iskolák pirossal lesznek jelölve."/>
          <button id="btnRangsor" label="Ideiglenes lista" image="rangsor" size="large" onAction="Publikalas_AzonositoPont_Sorszam_RangsorSzerint" screentip="Rangsor frissítés" supertip="Rangsor készít a tagozatkódok alapjá vagy az összes diákról. Megadható a munkalap, ahová a mentés kerül."/>
          <button id="btnFeltoltes" label="Rangsor tabla feltöltés" image="feltoltrangsor" size="large" onAction="MasolasDiakadatbolRangsorba" screentip="Rangsor feltöltés" supertip="A Diákadatokból feltölti a rangsor táblát. A tagozat, felvesz, elut, mastvalasz oszlopokon kívül minden adatot felülír."/>
          <button id="btnToplista" label="Toplista a diákadatokba" image="rangsorbeallit" size="large" onAction="SzamoljEgyediPrioritasosRangsor" screentip="Rangsor szinezés" supertip="Rangsor feltöltése a diakadat táblában. Meg kell adni a ferlvételhez szükséges minimális ponthatárt, zöld. A 70 nél kevesebb írásbeli, piros."/>
          <button id="btnPtorles" label="Ponthatár törlése" image="ponthatartorol" size="large" onAction="TorolPonthatarA14" screentip="Ponthatár törlés" supertip="Törli a rangsoroláshoz megadott pontokat. Csak akkor kell használni, ha változtatni szeretnénk a felvételhez szükséges minimális pontszámot."/>
          <button id="btnVerzio" label="Verzió mentés" image="backup_folder" size="large" onAction="SaveVersionedCopy" screentip="Verzió mentés" supertip="A munkafüzetet egy verziózott másolatként menti el egy megadott almappába, pl. '_verziok'. Automatikusan számozza a fájlokat."/>
          <button id="btnJelszo" label="Jelszavak - export" image="jelszoment" size="large" onAction="GeneratePasswordsFromTableAndExportCSV_Final_UniqueWithLogClean" screentip="Jelszavak létrehozása" supertip="Egyedi jelszavakat generál a megadott táblához, majd CSV fájlba exportálja őket. A korábbi naplót automatikusan törli."/>
          <button id="btnEmailCSV" label="E-mail címek - export" image="mailment" size="large" onAction="ExportCSVFromActiveSheetTable_UniqueOktazon" screentip="Email + CSV exportálás" supertip="A jelenlegi munkalap nevesített tábláját exportálja egyedi oktazon alapján CSV-be, majd e-mailt küld a fájl melléklettel."/>
          <button id="btndiakimport" label="Diákok Importálása" image="diakimport" size="large" onAction="Import_Export_Into_ThisWorkbook_Diakadat" screentip="Import másik filéból" supertip="Szóbelire jelentkező diákok importálása"/>
          <button id="btnpontimport" label="Írásbeli pont Importálása" image="pontimport" size="large" onAction="Import_KozpontiFelveteli_Pontszamok" screentip="Import másik filéból" supertip="Írásbeli pomtszámok importálása"/>
          <button id="btnpontujra" label="Pontszámok újra" image="pontszamokujra" size="large" onAction="SzamoljPontokatTombosen" screentip="Pontszámok újra" supertip="Össz pontszámok frissítése"/>
        </group>
      </tab>
      <!-- ÚJ TAB: Bizonyítvány -->
      <tab id="tabBizonyitvany" label="Bizonyítvány">
        <group id="grpBizMatrix" label="Mátrix">
          <button id="btnBiziMatrixBuild" label="Mátrix betöltése" imageMso="TableImport" size="large" onAction="Ribbon_BizonyitvanyMatrix" screentip="4. évf. jegyek beolvasása" supertip="Beolvassa a forrás Excelből a 4. évfolyam jegyeit. A bizonyitvany_matrix lapon név sor / tantárgy oszlop formában szerkeszthető mátrixot készít."/>
          <button id="btnBiziUpdate" label="Pont frissítés" imageMso="CalculateSheet" size="large" onAction="Ribbon_BizonyitvanyFrissites" screentip="p_bizonyitvany frissítése" supertip="Csak a kézzel módosított (dirty) sorok alapján frissíti a diakadat táblában a p_bizonyitvany oszlopot oktazon szerint."/>
        </group>
        <group id="grpBizFull" label="Egy kattintás">
          <button id="btnBiziFull" label="Teljes feldolgozás" imageMso="RefreshAll" size="large" onAction="Ribbon_BizonyitvanyTeljes" screentip="Mátrix + frissítés" supertip="Létrehozza/frissíti a bizonyítvány mátrixot a forrásból, majd frissíti a p_bizonyitvany értékeket."/>
          <button id="btnPBizonyitvanyReloadFormat" label="Bizonyítvány pont újratöltés + tizedes" image="ujratolt" size="large" onAction="PBizonyitvany_UjratoltesEsTizedesBeallitas" screentip="Újratölt + hány tizedesel" supertip="Bizonyítvány pontszámok beállítása tizedes jegyekre és a tábla frissítése"/>
        </group>
      </tab>
      <tab id="tabFelveteli" label="Felvételi">
        <group id="grpNevsor" label="Névsor">
          <button id="btnRefresh" label="Frissít dropdown" size="large" onAction="Ribbon_TeremNevsor_Refresh" imageMso="RefreshAll"/>
          <button id="btnGenerate" label="Generálás" size="large" onAction="Ribbon_TeremNevsor_Generate" image="nevsor"/>
          <button id="btnIdopontMenu" label="Időpontok" size="large" onAction="Idopontok_Menu" imageMso="AppointmentColorDialo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21</vt:i4>
      </vt:variant>
      <vt:variant>
        <vt:lpstr>Névvel ellátott tartományok</vt:lpstr>
      </vt:variant>
      <vt:variant>
        <vt:i4>1</vt:i4>
      </vt:variant>
    </vt:vector>
  </HeadingPairs>
  <TitlesOfParts>
    <vt:vector size="22" baseType="lpstr">
      <vt:lpstr>adatok</vt:lpstr>
      <vt:lpstr>Szabályok</vt:lpstr>
      <vt:lpstr>diakadat</vt:lpstr>
      <vt:lpstr>4000</vt:lpstr>
      <vt:lpstr>3000</vt:lpstr>
      <vt:lpstr>2000</vt:lpstr>
      <vt:lpstr>1000</vt:lpstr>
      <vt:lpstr>TanteremLista</vt:lpstr>
      <vt:lpstr>rangsor</vt:lpstr>
      <vt:lpstr>lista</vt:lpstr>
      <vt:lpstr>tagozat</vt:lpstr>
      <vt:lpstr>eselyesek</vt:lpstr>
      <vt:lpstr>diak_lista</vt:lpstr>
      <vt:lpstr>idopontok</vt:lpstr>
      <vt:lpstr>Névsor</vt:lpstr>
      <vt:lpstr>bizonyitvany_matrix</vt:lpstr>
      <vt:lpstr>MailErrors</vt:lpstr>
      <vt:lpstr>StepLog</vt:lpstr>
      <vt:lpstr>ExportLog</vt:lpstr>
      <vt:lpstr>GroupsDebug</vt:lpstr>
      <vt:lpstr>Osszesito</vt:lpstr>
      <vt:lpstr>Névsor!Nyomtatási_terület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Papp György</dc:creator>
  <cp:keywords/>
  <dc:description/>
  <cp:lastModifiedBy>Papp György</cp:lastModifiedBy>
  <cp:revision/>
  <cp:lastPrinted>2026-03-19T07:06:34Z</cp:lastPrinted>
  <dcterms:created xsi:type="dcterms:W3CDTF">2025-04-10T05:53:53Z</dcterms:created>
  <dcterms:modified xsi:type="dcterms:W3CDTF">2026-04-20T09:14:41Z</dcterms:modified>
  <cp:category/>
  <cp:contentStatus/>
</cp:coreProperties>
</file>